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hidePivotFieldList="1"/>
  <bookViews>
    <workbookView windowWidth="21000" windowHeight="10187" activeTab="3"/>
  </bookViews>
  <sheets>
    <sheet name="Sales Report" sheetId="2" r:id="rId1"/>
    <sheet name="KPIs" sheetId="3" r:id="rId2"/>
    <sheet name="Pivot " sheetId="5" r:id="rId3"/>
    <sheet name="Visualization" sheetId="9" r:id="rId4"/>
  </sheets>
  <definedNames>
    <definedName name="ExternalData_1" localSheetId="0" hidden="1">'Sales Report'!$A$1:$O$103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Query - Custom Office Templates" description="Connection to the 'Custom Office Templates' query in the workbook." type="5" background="1" refreshedVersion="2" saveData="1">
    <dbPr connection="Provider=Microsoft.Mashup.OleDb.1;Data Source=$Workbook$;Location=Custom Office Templates;Extended Properties=&quot;&quot;" command="SELECT * FROM [Custom Office Templates]" commandType="2"/>
  </connection>
  <connection id="2" name="Query - Sample File" description="Connection to the 'Sample File' query in the workbook." type="5" background="1" refreshedVersion="2" saveData="1">
    <dbPr connection="Provider=Microsoft.Mashup.OleDb.1;Data Source=$Workbook$;Location=&quot;Sample File&quot;;Extended Properties=&quot;&quot;" command="SELECT * FROM [Sample File]" commandType="2"/>
  </connection>
  <connection id="3" name="Query - Sample File Parameter1" description="Connection to the 'Sample File Parameter1' query in the workbook." type="5" background="1" refreshedVersion="2" saveData="1">
    <dbPr connection="Provider=Microsoft.Mashup.OleDb.1;Data Source=$Workbook$;Location=&quot;Sample File Parameter1&quot;;Extended Properties=&quot;&quot;" command="SELECT * FROM [Sample File Parameter1]" commandType="2"/>
  </connection>
  <connection id="4" name="Query - Transform File from Custom Office Templates" description="Connection to the 'Transform File from Custom Office Templates' query in the workbook." type="5" background="1" refreshedVersion="2" saveData="1">
    <dbPr connection="Provider=Microsoft.Mashup.OleDb.1;Data Source=$Workbook$;Location=&quot;Transform File from Custom Office Templates&quot;;Extended Properties=&quot;&quot;" command="SELECT * FROM [Transform File from Custom Office Templates]" commandType="2"/>
  </connection>
  <connection id="5" name="Query - Transform Sample File from Custom Office Templates" description="Connection to the 'Transform Sample File from Custom Office Templates' query in the workbook." type="5" background="1" refreshedVersion="2" saveData="1">
    <dbPr connection="Provider=Microsoft.Mashup.OleDb.1;Data Source=$Workbook$;Location=&quot;Transform Sample File from Custom Office Templates&quot;;Extended Properties=&quot;&quot;" command="SELECT * FROM [Transform Sample File from Custom Office Templates]" commandType="2"/>
  </connection>
</connections>
</file>

<file path=xl/sharedStrings.xml><?xml version="1.0" encoding="utf-8"?>
<sst xmlns="http://schemas.openxmlformats.org/spreadsheetml/2006/main" count="532" uniqueCount="183">
  <si>
    <t>Date</t>
  </si>
  <si>
    <t>Transaction ID</t>
  </si>
  <si>
    <t>City</t>
  </si>
  <si>
    <t>Product Name</t>
  </si>
  <si>
    <t>Product Category</t>
  </si>
  <si>
    <t>Quantity Sold</t>
  </si>
  <si>
    <t>Unit Cost</t>
  </si>
  <si>
    <t>Total Cost</t>
  </si>
  <si>
    <t>Unit Price</t>
  </si>
  <si>
    <t>Profit</t>
  </si>
  <si>
    <t>Profit Margin</t>
  </si>
  <si>
    <t>Discount</t>
  </si>
  <si>
    <t>Discount Amount</t>
  </si>
  <si>
    <t>Net Revenue</t>
  </si>
  <si>
    <t>Gross Profit</t>
  </si>
  <si>
    <t>Owerri</t>
  </si>
  <si>
    <t>Hydrating Serum</t>
  </si>
  <si>
    <t>Face Serum</t>
  </si>
  <si>
    <t>Dutse</t>
  </si>
  <si>
    <t>Brightening Cream</t>
  </si>
  <si>
    <t>Moisturizer</t>
  </si>
  <si>
    <t xml:space="preserve">Aba </t>
  </si>
  <si>
    <t>Gentle Foaming Cleanser</t>
  </si>
  <si>
    <t>Cleanser</t>
  </si>
  <si>
    <t>Yola</t>
  </si>
  <si>
    <t>Vitamin C serum</t>
  </si>
  <si>
    <t>Uyo</t>
  </si>
  <si>
    <t>Night Renewal Cream</t>
  </si>
  <si>
    <t>Onitsha</t>
  </si>
  <si>
    <t>Pore Minimizing Toner</t>
  </si>
  <si>
    <t>Toner</t>
  </si>
  <si>
    <t>Bauchi</t>
  </si>
  <si>
    <t>Anti-Aging Eye Cream</t>
  </si>
  <si>
    <t>Eye Care</t>
  </si>
  <si>
    <t>Yenegoa</t>
  </si>
  <si>
    <t>Acne Spot Treatment</t>
  </si>
  <si>
    <t>Treatment</t>
  </si>
  <si>
    <t>Ajah</t>
  </si>
  <si>
    <t>Daily SPF 50</t>
  </si>
  <si>
    <t>Sunscreen</t>
  </si>
  <si>
    <t>Abuja</t>
  </si>
  <si>
    <t>Lip Balm with hyaluronic acid</t>
  </si>
  <si>
    <t>Lips</t>
  </si>
  <si>
    <t>Port Harcourt</t>
  </si>
  <si>
    <t>Simple Face Wash</t>
  </si>
  <si>
    <t>Face Wash</t>
  </si>
  <si>
    <t>Ikeja</t>
  </si>
  <si>
    <t>ST Ives Body Wash</t>
  </si>
  <si>
    <t>Body Wash</t>
  </si>
  <si>
    <t>Osapa London</t>
  </si>
  <si>
    <t>COSRX Salicylic Face Wash</t>
  </si>
  <si>
    <t>Akure</t>
  </si>
  <si>
    <t>Dr Rashel SPF</t>
  </si>
  <si>
    <t>Ibadan</t>
  </si>
  <si>
    <t>Snail Mucin</t>
  </si>
  <si>
    <t>Isntree Face Cream</t>
  </si>
  <si>
    <t>Owerrri</t>
  </si>
  <si>
    <t>Dr Teals Probiotics Body Oil</t>
  </si>
  <si>
    <t>Body Oil</t>
  </si>
  <si>
    <t>Bio Oil</t>
  </si>
  <si>
    <t>Skin by Zaron Body Wash</t>
  </si>
  <si>
    <t>Tiam B3 Serum</t>
  </si>
  <si>
    <t>Panoxyl Cleanser</t>
  </si>
  <si>
    <t>Neutrogena Acne Toner</t>
  </si>
  <si>
    <t>Face Facts Salicylic</t>
  </si>
  <si>
    <t>Anua Cleansing Oil</t>
  </si>
  <si>
    <t>Cerave Cleanser</t>
  </si>
  <si>
    <t>Sapele</t>
  </si>
  <si>
    <t>Neutrogena Hydro Boost Gel</t>
  </si>
  <si>
    <t>Body Lotion</t>
  </si>
  <si>
    <t>Warri</t>
  </si>
  <si>
    <t>Anua Cleansing Foam</t>
  </si>
  <si>
    <t>Calabar</t>
  </si>
  <si>
    <t>Good Molecules Toner</t>
  </si>
  <si>
    <t>Mary&amp;May Eye Cream</t>
  </si>
  <si>
    <t>Eye  Care</t>
  </si>
  <si>
    <t>Anua  Gentle Exfoliating Toner</t>
  </si>
  <si>
    <t>Anua Niacinamide</t>
  </si>
  <si>
    <t>Q+A Salicylic Lotion</t>
  </si>
  <si>
    <t>Numbuzin Glowing Toner</t>
  </si>
  <si>
    <t>Koji White Brightening Soap</t>
  </si>
  <si>
    <t>Bar Soap</t>
  </si>
  <si>
    <t>Ordinary Glycolic Acid</t>
  </si>
  <si>
    <t>Balance Vit C Serum</t>
  </si>
  <si>
    <t>Revox B77 Zitcare Face Wash</t>
  </si>
  <si>
    <t>Nsukka</t>
  </si>
  <si>
    <t>Palmer Dark Spot soap</t>
  </si>
  <si>
    <t>Abakiliki</t>
  </si>
  <si>
    <t>Creightons Salicylic Cleanser</t>
  </si>
  <si>
    <t>Ordinary Alpha Arbutin Serum</t>
  </si>
  <si>
    <t>Garnier Vit C Wash</t>
  </si>
  <si>
    <t>Axis-Y Dark Spot Serum</t>
  </si>
  <si>
    <t>Aba</t>
  </si>
  <si>
    <t>Garnier Vit C Serum</t>
  </si>
  <si>
    <t>Uncover Vit C Sheet Mask</t>
  </si>
  <si>
    <t>Sheet Mask</t>
  </si>
  <si>
    <t>Kano</t>
  </si>
  <si>
    <t>Pixi Glow Tonic</t>
  </si>
  <si>
    <t>Good Molecules Serum</t>
  </si>
  <si>
    <t>Bolden Dark Spot Fix</t>
  </si>
  <si>
    <t>Palmer Cocoa Oil</t>
  </si>
  <si>
    <t>Tiam B3 Toner</t>
  </si>
  <si>
    <t>Good Molecules Body Treatment</t>
  </si>
  <si>
    <t>Beauty of Joseon Serum</t>
  </si>
  <si>
    <t>Palmer Body Lotion</t>
  </si>
  <si>
    <t>Ikoyi</t>
  </si>
  <si>
    <t>Dr Teals Vit C Wash</t>
  </si>
  <si>
    <t>Urban Skin Toner</t>
  </si>
  <si>
    <t>Jumiso Brightening Serum</t>
  </si>
  <si>
    <t>Ordinary Retinoid Serum</t>
  </si>
  <si>
    <t>Medix 5.5 Retinol Lotion</t>
  </si>
  <si>
    <t>Medix 5.5 Vit C+Tumeric Lotion</t>
  </si>
  <si>
    <t>Bolden Brightening SPF 30</t>
  </si>
  <si>
    <t>Advanced Clinical Vit C Serum</t>
  </si>
  <si>
    <t>Ordinary Mandelic Acid Serum</t>
  </si>
  <si>
    <t>Ordinary Caffeine Serum</t>
  </si>
  <si>
    <t>Urban Skin Cleansing Bar</t>
  </si>
  <si>
    <t>Maiduguri</t>
  </si>
  <si>
    <t>THE SOLUTION Retinol Lotion</t>
  </si>
  <si>
    <t>Vaseline Gluta-Hya Lotion</t>
  </si>
  <si>
    <t>Cerave Retinol Serum</t>
  </si>
  <si>
    <t>Dr V Antioxidant Serum</t>
  </si>
  <si>
    <t>Good Molecules Retinol Cream</t>
  </si>
  <si>
    <t>Dr Teal's Vit C Lotion</t>
  </si>
  <si>
    <t>Kojivit Ultra Gel</t>
  </si>
  <si>
    <t>Advanced Clinical Peptide Serum</t>
  </si>
  <si>
    <t>La Roche-Posay Soothing Balm</t>
  </si>
  <si>
    <t>Kebbi</t>
  </si>
  <si>
    <t>Topicream Cleansing Gel</t>
  </si>
  <si>
    <t>Jos</t>
  </si>
  <si>
    <t xml:space="preserve">Timeless Vit C Serum </t>
  </si>
  <si>
    <t>Alpha Moisturizing Body Wash</t>
  </si>
  <si>
    <t>Medix 5.5 Retinol Body Wash</t>
  </si>
  <si>
    <t xml:space="preserve">Dr Teals Vit C Oil </t>
  </si>
  <si>
    <t>VI</t>
  </si>
  <si>
    <t>Nivea Lotion</t>
  </si>
  <si>
    <t>Palmer Vit E Stretch Marks</t>
  </si>
  <si>
    <t>Touch Roll-on Lotion</t>
  </si>
  <si>
    <t xml:space="preserve"> Body Lotion</t>
  </si>
  <si>
    <t>Bioderma Gentle Cleansing Gel</t>
  </si>
  <si>
    <t>Cerave Hydrating Cleanser Oil</t>
  </si>
  <si>
    <t>Face Oil</t>
  </si>
  <si>
    <t xml:space="preserve">Cerave Hydrating Cleanser  </t>
  </si>
  <si>
    <t>Creightons Salicylic Serm</t>
  </si>
  <si>
    <t>Axis-Y Correcting Serum</t>
  </si>
  <si>
    <t>Garnier Hyaluron Lotion</t>
  </si>
  <si>
    <t>Touch Acne Benzoyl Peroxide</t>
  </si>
  <si>
    <t>Wishtrend Mandelic Acid</t>
  </si>
  <si>
    <t>Balance Niacinamide Serum</t>
  </si>
  <si>
    <t>Neutrogena Oil Acne Wash</t>
  </si>
  <si>
    <t>Bolden Clarifying Cleanser</t>
  </si>
  <si>
    <t>Bolden Brightening Toner</t>
  </si>
  <si>
    <t>Nineless Azelaic Acid Toner</t>
  </si>
  <si>
    <t>Wuse</t>
  </si>
  <si>
    <t>Kabazel Azelaic Gel</t>
  </si>
  <si>
    <t>Q+A Azelaic Serum</t>
  </si>
  <si>
    <t>Nineless Azelaic Serum</t>
  </si>
  <si>
    <t>Illiyoon Ceramide Lotion</t>
  </si>
  <si>
    <t>Cerave Hyaluronic Serum</t>
  </si>
  <si>
    <t>Q+A Ceramide Lotion</t>
  </si>
  <si>
    <r>
      <rPr>
        <b/>
        <sz val="12"/>
        <color theme="9" tint="-0.249977111117893"/>
        <rFont val="Calibri"/>
        <charset val="134"/>
        <scheme val="minor"/>
      </rPr>
      <t xml:space="preserve">  </t>
    </r>
    <r>
      <rPr>
        <b/>
        <u/>
        <sz val="12"/>
        <color theme="9" tint="-0.249977111117893"/>
        <rFont val="Calibri"/>
        <charset val="134"/>
        <scheme val="minor"/>
      </rPr>
      <t>KEY METRICS</t>
    </r>
  </si>
  <si>
    <t>Total Revenue</t>
  </si>
  <si>
    <t>Total Orders</t>
  </si>
  <si>
    <t>Total Profit</t>
  </si>
  <si>
    <t>Avg. Profit per Order</t>
  </si>
  <si>
    <t>Avg. Order Value</t>
  </si>
  <si>
    <t>Top-Selling Product</t>
  </si>
  <si>
    <t>Worst-Selling Product</t>
  </si>
  <si>
    <t>Top Buying City</t>
  </si>
  <si>
    <t xml:space="preserve">Least Buying City </t>
  </si>
  <si>
    <t xml:space="preserve">           Revenue by City </t>
  </si>
  <si>
    <t>Quantity Sold by Product Category</t>
  </si>
  <si>
    <t xml:space="preserve">           Profit by Product Name</t>
  </si>
  <si>
    <t>Gross Profit Trend by Category</t>
  </si>
  <si>
    <t>Row Labels</t>
  </si>
  <si>
    <t>Sum of Net Revenue</t>
  </si>
  <si>
    <t>Sum of Quantity Sold</t>
  </si>
  <si>
    <t>Sum of Profit</t>
  </si>
  <si>
    <t>Sum of Gross Profit</t>
  </si>
  <si>
    <t>(blank)</t>
  </si>
  <si>
    <t>Grand Total</t>
  </si>
  <si>
    <t xml:space="preserve">                  Top 8 Purchased Products</t>
  </si>
  <si>
    <t xml:space="preserve">      Bottom 5 Products by Net Revenue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</si>
</sst>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&quot;₦&quot;#,##0.00"/>
  </numFmts>
  <fonts count="25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2"/>
      <color theme="9" tint="-0.249977111117893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u/>
      <sz val="12"/>
      <color theme="9" tint="-0.249977111117893"/>
      <name val="Calibri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61953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3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4" applyNumberFormat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5" borderId="4" applyNumberFormat="0" applyAlignment="0" applyProtection="0">
      <alignment vertical="center"/>
    </xf>
    <xf numFmtId="0" fontId="16" fillId="6" borderId="6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</cellStyleXfs>
  <cellXfs count="12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Alignment="1">
      <alignment horizontal="left"/>
    </xf>
    <xf numFmtId="178" fontId="0" fillId="0" borderId="0" xfId="0" applyNumberFormat="1"/>
    <xf numFmtId="0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58" fontId="0" fillId="0" borderId="0" xfId="0" applyNumberFormat="1"/>
    <xf numFmtId="10" fontId="0" fillId="0" borderId="0" xfId="0" applyNumberForma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5">
    <dxf>
      <numFmt numFmtId="17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8" formatCode="&quot;₦&quot;#,##0.00"/>
    </dxf>
    <dxf>
      <numFmt numFmtId="178" formatCode="&quot;₦&quot;#,##0.00"/>
    </dxf>
    <dxf>
      <numFmt numFmtId="178" formatCode="&quot;₦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0061953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pivotCacheDefinition" Target="pivotCache/pivotCacheDefinition1.xml"/><Relationship Id="rId6" Type="http://schemas.openxmlformats.org/officeDocument/2006/relationships/customXml" Target="../customXml/item1.xml"/><Relationship Id="rId5" Type="http://schemas.openxmlformats.org/officeDocument/2006/relationships/connections" Target="connections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[Skincare Sales.xlsm]Pivot 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City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tx>
            <c:strRef>
              <c:f>'Pivot '!$B$2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3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7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8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19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0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3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4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5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6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7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Pt>
            <c:idx val="29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</c:dPt>
          <c:dLbls>
            <c:delete val="1"/>
          </c:dLbls>
          <c:cat>
            <c:strRef>
              <c:f>'Pivot '!$A$3:$A$33</c:f>
              <c:strCache>
                <c:ptCount val="30"/>
                <c:pt idx="0">
                  <c:v>Aba</c:v>
                </c:pt>
                <c:pt idx="1">
                  <c:v>Aba </c:v>
                </c:pt>
                <c:pt idx="2">
                  <c:v>Abakiliki</c:v>
                </c:pt>
                <c:pt idx="3">
                  <c:v>Abuja</c:v>
                </c:pt>
                <c:pt idx="4">
                  <c:v>Ajah</c:v>
                </c:pt>
                <c:pt idx="5">
                  <c:v>Akure</c:v>
                </c:pt>
                <c:pt idx="6">
                  <c:v>Bauchi</c:v>
                </c:pt>
                <c:pt idx="7">
                  <c:v>Calabar</c:v>
                </c:pt>
                <c:pt idx="8">
                  <c:v>Dutse</c:v>
                </c:pt>
                <c:pt idx="9">
                  <c:v>Ibadan</c:v>
                </c:pt>
                <c:pt idx="10">
                  <c:v>Ikeja</c:v>
                </c:pt>
                <c:pt idx="11">
                  <c:v>Ikoyi</c:v>
                </c:pt>
                <c:pt idx="12">
                  <c:v>Jos</c:v>
                </c:pt>
                <c:pt idx="13">
                  <c:v>Kano</c:v>
                </c:pt>
                <c:pt idx="14">
                  <c:v>Kebbi</c:v>
                </c:pt>
                <c:pt idx="15">
                  <c:v>Maiduguri</c:v>
                </c:pt>
                <c:pt idx="16">
                  <c:v>Nsukka</c:v>
                </c:pt>
                <c:pt idx="17">
                  <c:v>Onitsha</c:v>
                </c:pt>
                <c:pt idx="18">
                  <c:v>Osapa London</c:v>
                </c:pt>
                <c:pt idx="19">
                  <c:v>Owerri</c:v>
                </c:pt>
                <c:pt idx="20">
                  <c:v>Owerrri</c:v>
                </c:pt>
                <c:pt idx="21">
                  <c:v>Port Harcourt</c:v>
                </c:pt>
                <c:pt idx="22">
                  <c:v>Sapele</c:v>
                </c:pt>
                <c:pt idx="23">
                  <c:v>Uyo</c:v>
                </c:pt>
                <c:pt idx="24">
                  <c:v>VI</c:v>
                </c:pt>
                <c:pt idx="25">
                  <c:v>Warri</c:v>
                </c:pt>
                <c:pt idx="26">
                  <c:v>Wuse</c:v>
                </c:pt>
                <c:pt idx="27">
                  <c:v>Yenegoa</c:v>
                </c:pt>
                <c:pt idx="28">
                  <c:v>Yola</c:v>
                </c:pt>
                <c:pt idx="29">
                  <c:v>(blank)</c:v>
                </c:pt>
              </c:strCache>
            </c:strRef>
          </c:cat>
          <c:val>
            <c:numRef>
              <c:f>'Pivot '!$B$3:$B$33</c:f>
              <c:numCache>
                <c:formatCode>"₦"#,##0.00</c:formatCode>
                <c:ptCount val="30"/>
                <c:pt idx="0">
                  <c:v>20770.5</c:v>
                </c:pt>
                <c:pt idx="1">
                  <c:v>96532.5</c:v>
                </c:pt>
                <c:pt idx="2">
                  <c:v>107970</c:v>
                </c:pt>
                <c:pt idx="3">
                  <c:v>59292</c:v>
                </c:pt>
                <c:pt idx="4">
                  <c:v>144570</c:v>
                </c:pt>
                <c:pt idx="5">
                  <c:v>36600</c:v>
                </c:pt>
                <c:pt idx="6">
                  <c:v>41175</c:v>
                </c:pt>
                <c:pt idx="7">
                  <c:v>283192.5</c:v>
                </c:pt>
                <c:pt idx="8">
                  <c:v>123589.05</c:v>
                </c:pt>
                <c:pt idx="9">
                  <c:v>286834.2</c:v>
                </c:pt>
                <c:pt idx="10">
                  <c:v>201418.95</c:v>
                </c:pt>
                <c:pt idx="11">
                  <c:v>131503.8</c:v>
                </c:pt>
                <c:pt idx="12">
                  <c:v>71973.9</c:v>
                </c:pt>
                <c:pt idx="13">
                  <c:v>187501.8</c:v>
                </c:pt>
                <c:pt idx="14">
                  <c:v>110989.5</c:v>
                </c:pt>
                <c:pt idx="15">
                  <c:v>175112.7</c:v>
                </c:pt>
                <c:pt idx="16">
                  <c:v>268149.9</c:v>
                </c:pt>
                <c:pt idx="17">
                  <c:v>16012.5</c:v>
                </c:pt>
                <c:pt idx="18">
                  <c:v>353455.35</c:v>
                </c:pt>
                <c:pt idx="19">
                  <c:v>329555.55</c:v>
                </c:pt>
                <c:pt idx="20">
                  <c:v>23790</c:v>
                </c:pt>
                <c:pt idx="21">
                  <c:v>545404.05</c:v>
                </c:pt>
                <c:pt idx="22">
                  <c:v>259402.5</c:v>
                </c:pt>
                <c:pt idx="23">
                  <c:v>192150</c:v>
                </c:pt>
                <c:pt idx="24">
                  <c:v>110623.5</c:v>
                </c:pt>
                <c:pt idx="25">
                  <c:v>272670</c:v>
                </c:pt>
                <c:pt idx="26">
                  <c:v>29280</c:v>
                </c:pt>
                <c:pt idx="27">
                  <c:v>66520.5</c:v>
                </c:pt>
                <c:pt idx="28">
                  <c:v>74115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5fa1cc9-fabe-4b5e-8598-78d9cf1a4a2b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[Skincare Sales.xlsm]Pivot !PivotTable10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Sales by Category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'!$F$2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'Pivot '!$E$3:$E$21</c:f>
              <c:strCache>
                <c:ptCount val="18"/>
                <c:pt idx="0">
                  <c:v> Body Lotion</c:v>
                </c:pt>
                <c:pt idx="1">
                  <c:v>Bar Soap</c:v>
                </c:pt>
                <c:pt idx="2">
                  <c:v>Body Lotion</c:v>
                </c:pt>
                <c:pt idx="3">
                  <c:v>Body Oil</c:v>
                </c:pt>
                <c:pt idx="4">
                  <c:v>Body Wash</c:v>
                </c:pt>
                <c:pt idx="5">
                  <c:v>Cleanser</c:v>
                </c:pt>
                <c:pt idx="6">
                  <c:v>Eye  Care</c:v>
                </c:pt>
                <c:pt idx="7">
                  <c:v>Eye Care</c:v>
                </c:pt>
                <c:pt idx="8">
                  <c:v>Face Oil</c:v>
                </c:pt>
                <c:pt idx="9">
                  <c:v>Face Serum</c:v>
                </c:pt>
                <c:pt idx="10">
                  <c:v>Face Wash</c:v>
                </c:pt>
                <c:pt idx="11">
                  <c:v>Lips</c:v>
                </c:pt>
                <c:pt idx="12">
                  <c:v>Moisturizer</c:v>
                </c:pt>
                <c:pt idx="13">
                  <c:v>Sheet Mask</c:v>
                </c:pt>
                <c:pt idx="14">
                  <c:v>Sunscreen</c:v>
                </c:pt>
                <c:pt idx="15">
                  <c:v>Toner</c:v>
                </c:pt>
                <c:pt idx="16">
                  <c:v>Treatment</c:v>
                </c:pt>
                <c:pt idx="17">
                  <c:v>(blank)</c:v>
                </c:pt>
              </c:strCache>
            </c:strRef>
          </c:cat>
          <c:val>
            <c:numRef>
              <c:f>'Pivot '!$F$3:$F$21</c:f>
              <c:numCache>
                <c:formatCode>General</c:formatCode>
                <c:ptCount val="18"/>
                <c:pt idx="0">
                  <c:v>6</c:v>
                </c:pt>
                <c:pt idx="1">
                  <c:v>8</c:v>
                </c:pt>
                <c:pt idx="2">
                  <c:v>38</c:v>
                </c:pt>
                <c:pt idx="3">
                  <c:v>11</c:v>
                </c:pt>
                <c:pt idx="4">
                  <c:v>25</c:v>
                </c:pt>
                <c:pt idx="5">
                  <c:v>3</c:v>
                </c:pt>
                <c:pt idx="6">
                  <c:v>3</c:v>
                </c:pt>
                <c:pt idx="7">
                  <c:v>9</c:v>
                </c:pt>
                <c:pt idx="8">
                  <c:v>2</c:v>
                </c:pt>
                <c:pt idx="9">
                  <c:v>71</c:v>
                </c:pt>
                <c:pt idx="10">
                  <c:v>37</c:v>
                </c:pt>
                <c:pt idx="11">
                  <c:v>4</c:v>
                </c:pt>
                <c:pt idx="12">
                  <c:v>13</c:v>
                </c:pt>
                <c:pt idx="13">
                  <c:v>7</c:v>
                </c:pt>
                <c:pt idx="14">
                  <c:v>9</c:v>
                </c:pt>
                <c:pt idx="15">
                  <c:v>36</c:v>
                </c:pt>
                <c:pt idx="16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32505296"/>
        <c:axId val="1232506960"/>
      </c:barChart>
      <c:catAx>
        <c:axId val="123250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32506960"/>
        <c:crosses val="autoZero"/>
        <c:auto val="1"/>
        <c:lblAlgn val="ctr"/>
        <c:lblOffset val="100"/>
        <c:noMultiLvlLbl val="0"/>
      </c:catAx>
      <c:valAx>
        <c:axId val="12325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3250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1c407ab7-e136-420e-ae09-d3377b9be4e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[Skincare Sales.xlsm]Pivot !PivotTable17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Profit by Category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9244140535065"/>
          <c:y val="0.212555078281675"/>
          <c:w val="0.740780593215322"/>
          <c:h val="0.481878101739427"/>
        </c:manualLayout>
      </c:layout>
      <c:lineChart>
        <c:grouping val="stacked"/>
        <c:varyColors val="0"/>
        <c:ser>
          <c:idx val="0"/>
          <c:order val="0"/>
          <c:tx>
            <c:strRef>
              <c:f>'Pivot '!$N$3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'Pivot '!$M$4:$M$22</c:f>
              <c:strCache>
                <c:ptCount val="18"/>
                <c:pt idx="0">
                  <c:v> Body Lotion</c:v>
                </c:pt>
                <c:pt idx="1">
                  <c:v>Bar Soap</c:v>
                </c:pt>
                <c:pt idx="2">
                  <c:v>Body Lotion</c:v>
                </c:pt>
                <c:pt idx="3">
                  <c:v>Body Oil</c:v>
                </c:pt>
                <c:pt idx="4">
                  <c:v>Body Wash</c:v>
                </c:pt>
                <c:pt idx="5">
                  <c:v>Cleanser</c:v>
                </c:pt>
                <c:pt idx="6">
                  <c:v>Eye  Care</c:v>
                </c:pt>
                <c:pt idx="7">
                  <c:v>Eye Care</c:v>
                </c:pt>
                <c:pt idx="8">
                  <c:v>Face Oil</c:v>
                </c:pt>
                <c:pt idx="9">
                  <c:v>Face Serum</c:v>
                </c:pt>
                <c:pt idx="10">
                  <c:v>Face Wash</c:v>
                </c:pt>
                <c:pt idx="11">
                  <c:v>Lips</c:v>
                </c:pt>
                <c:pt idx="12">
                  <c:v>Moisturizer</c:v>
                </c:pt>
                <c:pt idx="13">
                  <c:v>Sheet Mask</c:v>
                </c:pt>
                <c:pt idx="14">
                  <c:v>Sunscreen</c:v>
                </c:pt>
                <c:pt idx="15">
                  <c:v>Toner</c:v>
                </c:pt>
                <c:pt idx="16">
                  <c:v>Treatment</c:v>
                </c:pt>
                <c:pt idx="17">
                  <c:v>(blank)</c:v>
                </c:pt>
              </c:strCache>
            </c:strRef>
          </c:cat>
          <c:val>
            <c:numRef>
              <c:f>'Pivot '!$N$4:$N$22</c:f>
              <c:numCache>
                <c:formatCode>"₦"#,##0.00</c:formatCode>
                <c:ptCount val="18"/>
                <c:pt idx="0">
                  <c:v>840</c:v>
                </c:pt>
                <c:pt idx="1">
                  <c:v>11510</c:v>
                </c:pt>
                <c:pt idx="2">
                  <c:v>52747</c:v>
                </c:pt>
                <c:pt idx="3">
                  <c:v>17806.75</c:v>
                </c:pt>
                <c:pt idx="4">
                  <c:v>20717.1</c:v>
                </c:pt>
                <c:pt idx="5">
                  <c:v>4312.5</c:v>
                </c:pt>
                <c:pt idx="6">
                  <c:v>4440</c:v>
                </c:pt>
                <c:pt idx="7">
                  <c:v>13267</c:v>
                </c:pt>
                <c:pt idx="8">
                  <c:v>1266.5</c:v>
                </c:pt>
                <c:pt idx="9">
                  <c:v>65151.15</c:v>
                </c:pt>
                <c:pt idx="10">
                  <c:v>37136.25</c:v>
                </c:pt>
                <c:pt idx="11">
                  <c:v>592</c:v>
                </c:pt>
                <c:pt idx="12">
                  <c:v>15380</c:v>
                </c:pt>
                <c:pt idx="13">
                  <c:v>14913.5</c:v>
                </c:pt>
                <c:pt idx="14">
                  <c:v>12637.9</c:v>
                </c:pt>
                <c:pt idx="15">
                  <c:v>24367.6</c:v>
                </c:pt>
                <c:pt idx="16">
                  <c:v>2770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2492816"/>
        <c:axId val="1232479504"/>
      </c:lineChart>
      <c:catAx>
        <c:axId val="123249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32479504"/>
        <c:crosses val="autoZero"/>
        <c:auto val="1"/>
        <c:lblAlgn val="ctr"/>
        <c:lblOffset val="100"/>
        <c:noMultiLvlLbl val="0"/>
      </c:catAx>
      <c:valAx>
        <c:axId val="12324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₦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3249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zero"/>
    <c:showDLblsOverMax val="0"/>
    <c:extLst>
      <c:ext uri="{0b15fc19-7d7d-44ad-8c2d-2c3a37ce22c3}">
        <chartProps xmlns="https://web.wps.cn/et/2018/main" chartId="{3518faa5-d6f2-4f9d-b935-ab98ceb606b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[Skincare Sales.xlsm]Pivot !PivotTable25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Bottom 5 Net Revenue</a:t>
            </a:r>
            <a:endParaRPr lang="en-US"/>
          </a:p>
        </c:rich>
      </c:tx>
      <c:layout>
        <c:manualLayout>
          <c:xMode val="edge"/>
          <c:yMode val="edge"/>
          <c:x val="0.370405982905983"/>
          <c:y val="0.0935120178943149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'Pivot '!$M$27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5000"/>
                </a:schemeClr>
              </a:contourClr>
            </a:sp3d>
          </c:spPr>
          <c:invertIfNegative val="0"/>
          <c:dLbls>
            <c:delete val="1"/>
          </c:dLbls>
          <c:cat>
            <c:strRef>
              <c:f>'Pivot '!$L$28:$L$34</c:f>
              <c:strCache>
                <c:ptCount val="6"/>
                <c:pt idx="0">
                  <c:v>(blank)</c:v>
                </c:pt>
                <c:pt idx="1">
                  <c:v>Lip Balm with hyaluronic acid</c:v>
                </c:pt>
                <c:pt idx="2">
                  <c:v>Isntree Face Cream</c:v>
                </c:pt>
                <c:pt idx="3">
                  <c:v>Simple Face Wash</c:v>
                </c:pt>
                <c:pt idx="4">
                  <c:v>Pore Minimizing Toner</c:v>
                </c:pt>
                <c:pt idx="5">
                  <c:v>Hydrating Serum</c:v>
                </c:pt>
              </c:strCache>
            </c:strRef>
          </c:cat>
          <c:val>
            <c:numRef>
              <c:f>'Pivot '!$M$28:$M$34</c:f>
              <c:numCache>
                <c:formatCode>General</c:formatCode>
                <c:ptCount val="6"/>
                <c:pt idx="1">
                  <c:v>4392</c:v>
                </c:pt>
                <c:pt idx="2">
                  <c:v>12810</c:v>
                </c:pt>
                <c:pt idx="3">
                  <c:v>15555</c:v>
                </c:pt>
                <c:pt idx="4">
                  <c:v>16012.5</c:v>
                </c:pt>
                <c:pt idx="5">
                  <c:v>16470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gapDepth val="150"/>
        <c:shape val="box"/>
        <c:axId val="1434436096"/>
        <c:axId val="1434437760"/>
      </c:bar3DChart>
      <c:catAx>
        <c:axId val="1434436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34437760"/>
        <c:crosses val="autoZero"/>
        <c:auto val="1"/>
        <c:lblAlgn val="ctr"/>
        <c:lblOffset val="100"/>
        <c:noMultiLvlLbl val="0"/>
      </c:catAx>
      <c:valAx>
        <c:axId val="143443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3443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a7e5511-8471-4832-8950-bb8ea4b2c232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[Skincare Sales.xlsm]Pivot !PivotTable20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 b="1">
                <a:solidFill>
                  <a:schemeClr val="tx1"/>
                </a:solidFill>
              </a:rPr>
              <a:t>Top 8 Purchased Products</a:t>
            </a:r>
            <a:endParaRPr lang="en-US" sz="14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0537489063867"/>
          <c:y val="0.10860323031730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tx>
            <c:strRef>
              <c:f>'Pivot '!$E$26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cat>
            <c:strRef>
              <c:f>'Pivot '!$D$27:$D$35</c:f>
              <c:strCache>
                <c:ptCount val="8"/>
                <c:pt idx="0">
                  <c:v>Beauty of Joseon Serum</c:v>
                </c:pt>
                <c:pt idx="1">
                  <c:v>Good Molecules Toner</c:v>
                </c:pt>
                <c:pt idx="2">
                  <c:v>Koji White Brightening Soap</c:v>
                </c:pt>
                <c:pt idx="3">
                  <c:v>Neutrogena Acne Toner</c:v>
                </c:pt>
                <c:pt idx="4">
                  <c:v>Ordinary Glycolic Acid</c:v>
                </c:pt>
                <c:pt idx="5">
                  <c:v>Q+A Azelaic Serum</c:v>
                </c:pt>
                <c:pt idx="6">
                  <c:v>Touch Roll-on Lotion</c:v>
                </c:pt>
                <c:pt idx="7">
                  <c:v>Uncover Vit C Sheet Mask</c:v>
                </c:pt>
              </c:strCache>
            </c:strRef>
          </c:cat>
          <c:val>
            <c:numRef>
              <c:f>'Pivot '!$E$27:$E$35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bf1519e-9f33-4cd4-9eb8-559e8aad25b2}"/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84667</xdr:colOff>
      <xdr:row>0</xdr:row>
      <xdr:rowOff>41485</xdr:rowOff>
    </xdr:from>
    <xdr:to>
      <xdr:col>10</xdr:col>
      <xdr:colOff>101601</xdr:colOff>
      <xdr:row>17</xdr:row>
      <xdr:rowOff>177799</xdr:rowOff>
    </xdr:to>
    <xdr:graphicFrame>
      <xdr:nvGraphicFramePr>
        <xdr:cNvPr id="4" name="Chart 3"/>
        <xdr:cNvGraphicFramePr/>
      </xdr:nvGraphicFramePr>
      <xdr:xfrm>
        <a:off x="84455" y="41275"/>
        <a:ext cx="6189345" cy="32448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227754</xdr:colOff>
      <xdr:row>0</xdr:row>
      <xdr:rowOff>64346</xdr:rowOff>
    </xdr:from>
    <xdr:to>
      <xdr:col>20</xdr:col>
      <xdr:colOff>21167</xdr:colOff>
      <xdr:row>17</xdr:row>
      <xdr:rowOff>71968</xdr:rowOff>
    </xdr:to>
    <xdr:graphicFrame>
      <xdr:nvGraphicFramePr>
        <xdr:cNvPr id="7" name="Chart 6"/>
        <xdr:cNvGraphicFramePr/>
      </xdr:nvGraphicFramePr>
      <xdr:xfrm>
        <a:off x="6399530" y="64135"/>
        <a:ext cx="5965825" cy="31165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26245</xdr:colOff>
      <xdr:row>19</xdr:row>
      <xdr:rowOff>134619</xdr:rowOff>
    </xdr:from>
    <xdr:to>
      <xdr:col>10</xdr:col>
      <xdr:colOff>11005</xdr:colOff>
      <xdr:row>36</xdr:row>
      <xdr:rowOff>126999</xdr:rowOff>
    </xdr:to>
    <xdr:graphicFrame>
      <xdr:nvGraphicFramePr>
        <xdr:cNvPr id="9" name="Chart 8"/>
        <xdr:cNvGraphicFramePr/>
      </xdr:nvGraphicFramePr>
      <xdr:xfrm>
        <a:off x="26035" y="3608705"/>
        <a:ext cx="6156960" cy="31013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135466</xdr:colOff>
      <xdr:row>18</xdr:row>
      <xdr:rowOff>125307</xdr:rowOff>
    </xdr:from>
    <xdr:to>
      <xdr:col>18</xdr:col>
      <xdr:colOff>25399</xdr:colOff>
      <xdr:row>35</xdr:row>
      <xdr:rowOff>110067</xdr:rowOff>
    </xdr:to>
    <xdr:graphicFrame>
      <xdr:nvGraphicFramePr>
        <xdr:cNvPr id="10" name="Chart 9"/>
        <xdr:cNvGraphicFramePr/>
      </xdr:nvGraphicFramePr>
      <xdr:xfrm>
        <a:off x="6307455" y="3416935"/>
        <a:ext cx="4827270" cy="3093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169334</xdr:colOff>
      <xdr:row>18</xdr:row>
      <xdr:rowOff>152400</xdr:rowOff>
    </xdr:from>
    <xdr:to>
      <xdr:col>25</xdr:col>
      <xdr:colOff>474134</xdr:colOff>
      <xdr:row>33</xdr:row>
      <xdr:rowOff>101600</xdr:rowOff>
    </xdr:to>
    <xdr:graphicFrame>
      <xdr:nvGraphicFramePr>
        <xdr:cNvPr id="12" name="Chart 11"/>
        <xdr:cNvGraphicFramePr/>
      </xdr:nvGraphicFramePr>
      <xdr:xfrm>
        <a:off x="11278870" y="3444240"/>
        <a:ext cx="4625340" cy="2692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5842.5629667824" refreshedBy="USER" recordCount="102">
  <cacheSource type="worksheet">
    <worksheetSource name="Custom_Office_Templates"/>
  </cacheSource>
  <cacheFields count="15">
    <cacheField name="Date" numFmtId="58"/>
    <cacheField name="Transaction ID" numFmtId="0"/>
    <cacheField name="City" numFmtId="0">
      <sharedItems containsBlank="1" count="30">
        <m/>
        <s v="Owerri"/>
        <s v="Dutse"/>
        <s v="Aba "/>
        <s v="Yola"/>
        <s v="Uyo"/>
        <s v="Onitsha"/>
        <s v="Bauchi"/>
        <s v="Yenegoa"/>
        <s v="Ajah"/>
        <s v="Abuja"/>
        <s v="Port Harcourt"/>
        <s v="Ikeja"/>
        <s v="Osapa London"/>
        <s v="Akure"/>
        <s v="Ibadan"/>
        <s v="Owerrri"/>
        <s v="Sapele"/>
        <s v="Warri"/>
        <s v="Calabar"/>
        <s v="Nsukka"/>
        <s v="Abakiliki"/>
        <s v="Aba"/>
        <s v="Kano"/>
        <s v="Ikoyi"/>
        <s v="Maiduguri"/>
        <s v="Kebbi"/>
        <s v="Jos"/>
        <s v="VI"/>
        <s v="Wuse"/>
      </sharedItems>
    </cacheField>
    <cacheField name="Product Name" numFmtId="0">
      <sharedItems containsBlank="1" count="100">
        <m/>
        <s v="Hydrating Serum"/>
        <s v="Brightening Cream"/>
        <s v="Gentle Foaming Cleanser"/>
        <s v="Vitamin C serum"/>
        <s v="Night Renewal Cream"/>
        <s v="Pore Minimizing Toner"/>
        <s v="Anti-Aging Eye Cream"/>
        <s v="Acne Spot Treatment"/>
        <s v="Daily SPF 50"/>
        <s v="Lip Balm with hyaluronic acid"/>
        <s v="Simple Face Wash"/>
        <s v="ST Ives Body Wash"/>
        <s v="COSRX Salicylic Face Wash"/>
        <s v="Dr Rashel SPF"/>
        <s v="Snail Mucin"/>
        <s v="Isntree Face Cream"/>
        <s v="Dr Teals Probiotics Body Oil"/>
        <s v="Bio Oil"/>
        <s v="Skin by Zaron Body Wash"/>
        <s v="Tiam B3 Serum"/>
        <s v="Panoxyl Cleanser"/>
        <s v="Neutrogena Acne Toner"/>
        <s v="Face Facts Salicylic"/>
        <s v="Anua Cleansing Oil"/>
        <s v="Cerave Cleanser"/>
        <s v="Neutrogena Hydro Boost Gel"/>
        <s v="Anua Cleansing Foam"/>
        <s v="Good Molecules Toner"/>
        <s v="Mary&amp;May Eye Cream"/>
        <s v="Anua  Gentle Exfoliating Toner"/>
        <s v="Anua Niacinamide"/>
        <s v="Q+A Salicylic Lotion"/>
        <s v="Numbuzin Glowing Toner"/>
        <s v="Koji White Brightening Soap"/>
        <s v="Ordinary Glycolic Acid"/>
        <s v="Balance Vit C Serum"/>
        <s v="Revox B77 Zitcare Face Wash"/>
        <s v="Palmer Dark Spot soap"/>
        <s v="Creightons Salicylic Cleanser"/>
        <s v="Ordinary Alpha Arbutin Serum"/>
        <s v="Garnier Vit C Wash"/>
        <s v="Axis-Y Dark Spot Serum"/>
        <s v="Garnier Vit C Serum"/>
        <s v="Uncover Vit C Sheet Mask"/>
        <s v="Pixi Glow Tonic"/>
        <s v="Good Molecules Serum"/>
        <s v="Bolden Dark Spot Fix"/>
        <s v="Palmer Cocoa Oil"/>
        <s v="Tiam B3 Toner"/>
        <s v="Good Molecules Body Treatment"/>
        <s v="Beauty of Joseon Serum"/>
        <s v="Palmer Body Lotion"/>
        <s v="Dr Teals Vit C Wash"/>
        <s v="Urban Skin Toner"/>
        <s v="Jumiso Brightening Serum"/>
        <s v="Ordinary Retinoid Serum"/>
        <s v="Medix 5.5 Retinol Lotion"/>
        <s v="Medix 5.5 Vit C+Tumeric Lotion"/>
        <s v="Bolden Brightening SPF 30"/>
        <s v="Advanced Clinical Vit C Serum"/>
        <s v="Ordinary Mandelic Acid Serum"/>
        <s v="Ordinary Caffeine Serum"/>
        <s v="Urban Skin Cleansing Bar"/>
        <s v="THE SOLUTION Retinol Lotion"/>
        <s v="Vaseline Gluta-Hya Lotion"/>
        <s v="Cerave Retinol Serum"/>
        <s v="Dr V Antioxidant Serum"/>
        <s v="Good Molecules Retinol Cream"/>
        <s v="Dr Teal's Vit C Lotion"/>
        <s v="Kojivit Ultra Gel"/>
        <s v="Advanced Clinical Peptide Serum"/>
        <s v="La Roche-Posay Soothing Balm"/>
        <s v="Topicream Cleansing Gel"/>
        <s v="Timeless Vit C Serum "/>
        <s v="Alpha Moisturizing Body Wash"/>
        <s v="Medix 5.5 Retinol Body Wash"/>
        <s v="Dr Teals Vit C Oil "/>
        <s v="Nivea Lotion"/>
        <s v="Palmer Vit E Stretch Marks"/>
        <s v="Touch Roll-on Lotion"/>
        <s v="Bioderma Gentle Cleansing Gel"/>
        <s v="Cerave Hydrating Cleanser Oil"/>
        <s v="Cerave Hydrating Cleanser  "/>
        <s v="Creightons Salicylic Serm"/>
        <s v="Axis-Y Correcting Serum"/>
        <s v="Garnier Hyaluron Lotion"/>
        <s v="Touch Acne Benzoyl Peroxide"/>
        <s v="Wishtrend Mandelic Acid"/>
        <s v="Balance Niacinamide Serum"/>
        <s v="Neutrogena Oil Acne Wash"/>
        <s v="Bolden Clarifying Cleanser"/>
        <s v="Bolden Brightening Toner"/>
        <s v="Nineless Azelaic Acid Toner"/>
        <s v="Kabazel Azelaic Gel"/>
        <s v="Q+A Azelaic Serum"/>
        <s v="Nineless Azelaic Serum"/>
        <s v="Illiyoon Ceramide Lotion"/>
        <s v="Cerave Hyaluronic Serum"/>
        <s v="Q+A Ceramide Lotion"/>
      </sharedItems>
    </cacheField>
    <cacheField name="Product Category" numFmtId="0">
      <sharedItems containsBlank="1" count="18">
        <m/>
        <s v="Face Serum"/>
        <s v="Moisturizer"/>
        <s v="Cleanser"/>
        <s v="Toner"/>
        <s v="Eye Care"/>
        <s v="Treatment"/>
        <s v="Sunscreen"/>
        <s v="Lips"/>
        <s v="Face Wash"/>
        <s v="Body Wash"/>
        <s v="Body Oil"/>
        <s v="Body Lotion"/>
        <s v="Eye  Care"/>
        <s v="Bar Soap"/>
        <s v="Sheet Mask"/>
        <s v=" Body Lotion"/>
        <s v="Face Oil"/>
      </sharedItems>
    </cacheField>
    <cacheField name="Quantity Sold" numFmtId="0"/>
    <cacheField name="Unit Cost" numFmtId="178"/>
    <cacheField name="Total Cost" numFmtId="178"/>
    <cacheField name="Unit Price" numFmtId="178"/>
    <cacheField name="Profit" numFmtId="0"/>
    <cacheField name="Profit Margin" numFmtId="0"/>
    <cacheField name="Discount" numFmtId="0"/>
    <cacheField name="Discount Amount" numFmtId="0"/>
    <cacheField name="Net Revenue" numFmtId="0">
      <sharedItems containsString="0" containsBlank="1" containsNumber="1" minValue="0" maxValue="135877.5" count="81">
        <m/>
        <n v="16470"/>
        <n v="49410"/>
        <n v="34312.5"/>
        <n v="27450"/>
        <n v="21045"/>
        <n v="16012.5"/>
        <n v="41175"/>
        <n v="34770"/>
        <n v="18300"/>
        <n v="4392"/>
        <n v="15555"/>
        <n v="35685"/>
        <n v="36600"/>
        <n v="12810"/>
        <n v="23790"/>
        <n v="46665"/>
        <n v="54900"/>
        <n v="62220"/>
        <n v="105225"/>
        <n v="74115"/>
        <n v="47580"/>
        <n v="32940"/>
        <n v="114375"/>
        <n v="7320"/>
        <n v="65880"/>
        <n v="64050"/>
        <n v="120780"/>
        <n v="53070"/>
        <n v="21960"/>
        <n v="17385"/>
        <n v="80977.5"/>
        <n v="39802.5"/>
        <n v="20770.5"/>
        <n v="42913.5"/>
        <n v="40809"/>
        <n v="90585"/>
        <n v="44835"/>
        <n v="52155"/>
        <n v="53527.5"/>
        <n v="28365"/>
        <n v="37606.5"/>
        <n v="41358"/>
        <n v="50508"/>
        <n v="53802"/>
        <n v="64370.25"/>
        <n v="39454.8"/>
        <n v="91737.9"/>
        <n v="31750.5"/>
        <n v="81691.2"/>
        <n v="45292.5"/>
        <n v="28822.5"/>
        <n v="42840.3"/>
        <n v="135877.5"/>
        <n v="45018"/>
        <n v="42822"/>
        <n v="29097"/>
        <n v="43920"/>
        <n v="69723"/>
        <n v="39711"/>
        <n v="58560"/>
        <n v="57370.5"/>
        <n v="36096.75"/>
        <n v="22783.5"/>
        <n v="25620"/>
        <n v="87840"/>
        <n v="100412.1"/>
        <n v="41266.5"/>
        <n v="38430"/>
        <n v="22692"/>
        <n v="48970.8"/>
        <n v="30231.6"/>
        <n v="31265.55"/>
        <n v="32262.9"/>
        <n v="44587.95"/>
        <n v="68625"/>
        <n v="29829"/>
        <n v="29280"/>
        <n v="31732.2"/>
        <n v="80785.35"/>
        <n v="33525.6"/>
      </sharedItems>
    </cacheField>
    <cacheField name="Gross Profit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2">
  <r>
    <m/>
    <m/>
    <x v="0"/>
    <x v="0"/>
    <x v="0"/>
    <m/>
    <m/>
    <m/>
    <m/>
    <m/>
    <m/>
    <n v="8.5000000000000006E-2"/>
    <m/>
    <x v="0"/>
    <m/>
  </r>
  <r>
    <d v="2025-06-01T00:00:00"/>
    <n v="1001"/>
    <x v="1"/>
    <x v="1"/>
    <x v="1"/>
    <n v="2"/>
    <n v="7500"/>
    <n v="15000"/>
    <n v="9000"/>
    <n v="1500"/>
    <n v="0.16666666666666666"/>
    <m/>
    <n v="1530"/>
    <x v="1"/>
    <n v="1470"/>
  </r>
  <r>
    <d v="2025-06-02T00:00:00"/>
    <n v="1002"/>
    <x v="2"/>
    <x v="2"/>
    <x v="2"/>
    <n v="3"/>
    <n v="15000"/>
    <n v="45000"/>
    <n v="18000"/>
    <n v="3000"/>
    <n v="0.16666666666666666"/>
    <m/>
    <n v="4590"/>
    <x v="2"/>
    <n v="4410"/>
  </r>
  <r>
    <d v="2025-06-03T00:00:00"/>
    <n v="1003"/>
    <x v="3"/>
    <x v="3"/>
    <x v="3"/>
    <n v="3"/>
    <n v="10000"/>
    <n v="30000"/>
    <n v="12500"/>
    <n v="2500"/>
    <n v="0.2"/>
    <m/>
    <n v="3187.5000000000005"/>
    <x v="3"/>
    <n v="4312.5"/>
  </r>
  <r>
    <d v="2025-06-04T00:00:00"/>
    <n v="1004"/>
    <x v="4"/>
    <x v="4"/>
    <x v="1"/>
    <n v="2"/>
    <n v="13000"/>
    <n v="26000"/>
    <n v="15000"/>
    <n v="2000"/>
    <n v="0.13333333333333333"/>
    <m/>
    <n v="2550"/>
    <x v="4"/>
    <n v="1450"/>
  </r>
  <r>
    <d v="2025-06-05T00:00:00"/>
    <n v="1005"/>
    <x v="5"/>
    <x v="5"/>
    <x v="2"/>
    <n v="1"/>
    <n v="19000"/>
    <n v="19000"/>
    <n v="23000"/>
    <n v="4000"/>
    <n v="0.17391304347826086"/>
    <m/>
    <n v="1955.0000000000002"/>
    <x v="5"/>
    <n v="2045"/>
  </r>
  <r>
    <d v="2025-06-06T00:00:00"/>
    <n v="1006"/>
    <x v="6"/>
    <x v="6"/>
    <x v="4"/>
    <n v="1"/>
    <n v="15000"/>
    <n v="15000"/>
    <n v="17500"/>
    <n v="2500"/>
    <n v="0.14285714285714285"/>
    <m/>
    <n v="1487.5"/>
    <x v="6"/>
    <n v="1012.5"/>
  </r>
  <r>
    <d v="2025-06-07T00:00:00"/>
    <n v="1007"/>
    <x v="7"/>
    <x v="7"/>
    <x v="5"/>
    <n v="3"/>
    <n v="12000"/>
    <n v="36000"/>
    <n v="15000"/>
    <n v="3000"/>
    <n v="0.2"/>
    <m/>
    <n v="3825.0000000000005"/>
    <x v="7"/>
    <n v="5175"/>
  </r>
  <r>
    <d v="2025-06-08T00:00:00"/>
    <n v="1008"/>
    <x v="8"/>
    <x v="8"/>
    <x v="6"/>
    <n v="2"/>
    <n v="16000"/>
    <n v="32000"/>
    <n v="19000"/>
    <n v="3000"/>
    <n v="0.15789473684210525"/>
    <m/>
    <n v="3230.0000000000005"/>
    <x v="8"/>
    <n v="2770"/>
  </r>
  <r>
    <d v="2025-06-09T00:00:00"/>
    <n v="1009"/>
    <x v="9"/>
    <x v="9"/>
    <x v="7"/>
    <n v="2"/>
    <n v="8000"/>
    <n v="16000"/>
    <n v="10000"/>
    <n v="2000"/>
    <n v="0.2"/>
    <m/>
    <n v="1700.0000000000002"/>
    <x v="9"/>
    <n v="2300"/>
  </r>
  <r>
    <d v="2025-06-10T00:00:00"/>
    <n v="1010"/>
    <x v="10"/>
    <x v="10"/>
    <x v="8"/>
    <n v="4"/>
    <n v="950"/>
    <n v="3800"/>
    <n v="1200"/>
    <n v="250"/>
    <n v="0.20833333333333334"/>
    <m/>
    <n v="408.00000000000006"/>
    <x v="10"/>
    <n v="592"/>
  </r>
  <r>
    <d v="2025-06-11T00:00:00"/>
    <n v="1011"/>
    <x v="11"/>
    <x v="11"/>
    <x v="9"/>
    <n v="2"/>
    <n v="6000"/>
    <n v="12000"/>
    <n v="8500"/>
    <n v="2500"/>
    <n v="0.29411764705882354"/>
    <m/>
    <n v="1445"/>
    <x v="11"/>
    <n v="3555"/>
  </r>
  <r>
    <d v="2025-06-12T00:00:00"/>
    <n v="1012"/>
    <x v="12"/>
    <x v="12"/>
    <x v="10"/>
    <n v="3"/>
    <n v="10500"/>
    <n v="31500"/>
    <n v="13000"/>
    <n v="2500"/>
    <n v="0.19230769230769232"/>
    <m/>
    <n v="3315.0000000000005"/>
    <x v="12"/>
    <n v="4185"/>
  </r>
  <r>
    <d v="2025-06-13T00:00:00"/>
    <n v="1013"/>
    <x v="13"/>
    <x v="13"/>
    <x v="9"/>
    <n v="2"/>
    <n v="12000"/>
    <n v="24000"/>
    <n v="15000"/>
    <n v="3000"/>
    <n v="0.2"/>
    <m/>
    <n v="2550"/>
    <x v="4"/>
    <n v="3450"/>
  </r>
  <r>
    <d v="2025-06-14T00:00:00"/>
    <n v="1014"/>
    <x v="14"/>
    <x v="14"/>
    <x v="7"/>
    <n v="4"/>
    <n v="7000"/>
    <n v="28000"/>
    <n v="10000"/>
    <n v="3000"/>
    <n v="0.3"/>
    <m/>
    <n v="3400.0000000000005"/>
    <x v="13"/>
    <n v="8600"/>
  </r>
  <r>
    <d v="2025-06-15T00:00:00"/>
    <n v="1015"/>
    <x v="15"/>
    <x v="15"/>
    <x v="2"/>
    <n v="2"/>
    <n v="16500"/>
    <n v="33000"/>
    <n v="20000"/>
    <n v="3500"/>
    <n v="0.17499999999999999"/>
    <m/>
    <n v="3400.0000000000005"/>
    <x v="13"/>
    <n v="3600"/>
  </r>
  <r>
    <d v="2025-06-16T00:00:00"/>
    <n v="1016"/>
    <x v="1"/>
    <x v="16"/>
    <x v="2"/>
    <n v="1"/>
    <n v="11600"/>
    <n v="11600"/>
    <n v="14000"/>
    <n v="2400"/>
    <n v="0.17142857142857143"/>
    <m/>
    <n v="1190"/>
    <x v="14"/>
    <n v="1210"/>
  </r>
  <r>
    <d v="2025-06-17T00:00:00"/>
    <n v="1017"/>
    <x v="16"/>
    <x v="17"/>
    <x v="11"/>
    <n v="2"/>
    <n v="11500"/>
    <n v="23000"/>
    <n v="13000"/>
    <n v="1500"/>
    <n v="0.11538461538461539"/>
    <m/>
    <n v="2210"/>
    <x v="15"/>
    <n v="790"/>
  </r>
  <r>
    <d v="2025-06-18T00:00:00"/>
    <n v="1018"/>
    <x v="4"/>
    <x v="18"/>
    <x v="11"/>
    <n v="3"/>
    <n v="14300"/>
    <n v="42900"/>
    <n v="17000"/>
    <n v="2700"/>
    <n v="0.1588235294117647"/>
    <m/>
    <n v="4335"/>
    <x v="16"/>
    <n v="3765"/>
  </r>
  <r>
    <d v="2025-06-19T00:00:00"/>
    <n v="1019"/>
    <x v="3"/>
    <x v="19"/>
    <x v="10"/>
    <n v="4"/>
    <n v="13000"/>
    <n v="52000"/>
    <n v="15000"/>
    <n v="2000"/>
    <n v="0.13333333333333333"/>
    <m/>
    <n v="5100"/>
    <x v="17"/>
    <n v="2900"/>
  </r>
  <r>
    <d v="2025-06-20T00:00:00"/>
    <n v="1020"/>
    <x v="9"/>
    <x v="20"/>
    <x v="1"/>
    <n v="4"/>
    <n v="14000"/>
    <n v="56000"/>
    <n v="17000"/>
    <n v="3000"/>
    <n v="0.17647058823529413"/>
    <m/>
    <n v="5780"/>
    <x v="18"/>
    <n v="6220"/>
  </r>
  <r>
    <d v="2025-06-21T00:00:00"/>
    <n v="1021"/>
    <x v="12"/>
    <x v="21"/>
    <x v="9"/>
    <n v="2"/>
    <n v="17000"/>
    <n v="34000"/>
    <n v="20000"/>
    <n v="3000"/>
    <n v="0.15"/>
    <m/>
    <n v="3400.0000000000005"/>
    <x v="13"/>
    <n v="2600"/>
  </r>
  <r>
    <d v="2025-06-22T00:00:00"/>
    <n v="1022"/>
    <x v="5"/>
    <x v="22"/>
    <x v="4"/>
    <n v="5"/>
    <n v="19500"/>
    <n v="97500"/>
    <n v="23000"/>
    <n v="3500"/>
    <n v="0.15217391304347827"/>
    <m/>
    <n v="9775"/>
    <x v="19"/>
    <n v="7725"/>
  </r>
  <r>
    <d v="2025-06-23T00:00:00"/>
    <n v="1023"/>
    <x v="11"/>
    <x v="23"/>
    <x v="9"/>
    <n v="2"/>
    <n v="7000"/>
    <n v="14000"/>
    <n v="10000"/>
    <n v="3000"/>
    <n v="0.3"/>
    <m/>
    <n v="1700.0000000000002"/>
    <x v="9"/>
    <n v="4300"/>
  </r>
  <r>
    <d v="2025-06-24T00:00:00"/>
    <n v="1024"/>
    <x v="15"/>
    <x v="24"/>
    <x v="9"/>
    <n v="3"/>
    <n v="26000"/>
    <n v="78000"/>
    <n v="27000"/>
    <n v="1000"/>
    <n v="3.7037037037037035E-2"/>
    <m/>
    <n v="6885.0000000000009"/>
    <x v="20"/>
    <n v="-3885"/>
  </r>
  <r>
    <d v="2025-06-25T00:00:00"/>
    <n v="1025"/>
    <x v="11"/>
    <x v="25"/>
    <x v="9"/>
    <n v="4"/>
    <n v="10000"/>
    <n v="40000"/>
    <n v="13000"/>
    <n v="3000"/>
    <n v="0.23076923076923078"/>
    <m/>
    <n v="4420"/>
    <x v="21"/>
    <n v="7580"/>
  </r>
  <r>
    <d v="2025-06-26T00:00:00"/>
    <n v="1026"/>
    <x v="17"/>
    <x v="26"/>
    <x v="12"/>
    <n v="2"/>
    <n v="15500"/>
    <n v="31000"/>
    <n v="18000"/>
    <n v="2500"/>
    <n v="0.1388888888888889"/>
    <m/>
    <n v="3060"/>
    <x v="22"/>
    <n v="1940"/>
  </r>
  <r>
    <d v="2025-06-27T00:00:00"/>
    <n v="1027"/>
    <x v="18"/>
    <x v="27"/>
    <x v="9"/>
    <n v="3"/>
    <n v="17500"/>
    <n v="52500"/>
    <n v="20000"/>
    <n v="2500"/>
    <n v="0.125"/>
    <m/>
    <n v="5100"/>
    <x v="17"/>
    <n v="2400"/>
  </r>
  <r>
    <d v="2025-06-28T00:00:00"/>
    <n v="1028"/>
    <x v="19"/>
    <x v="28"/>
    <x v="4"/>
    <n v="5"/>
    <n v="23000"/>
    <n v="115000"/>
    <n v="25000"/>
    <n v="2000"/>
    <n v="0.08"/>
    <m/>
    <n v="10625"/>
    <x v="23"/>
    <n v="-625"/>
  </r>
  <r>
    <d v="2025-06-29T00:00:00"/>
    <n v="1029"/>
    <x v="11"/>
    <x v="29"/>
    <x v="13"/>
    <n v="3"/>
    <n v="9500"/>
    <n v="28500"/>
    <n v="12000"/>
    <n v="2500"/>
    <n v="0.20833333333333334"/>
    <m/>
    <n v="3060"/>
    <x v="22"/>
    <n v="4440"/>
  </r>
  <r>
    <d v="2025-06-30T00:00:00"/>
    <n v="1030"/>
    <x v="3"/>
    <x v="29"/>
    <x v="5"/>
    <n v="1"/>
    <n v="6500"/>
    <n v="6500"/>
    <n v="8000"/>
    <n v="1500"/>
    <n v="0.1875"/>
    <m/>
    <n v="680"/>
    <x v="24"/>
    <n v="820"/>
  </r>
  <r>
    <d v="2025-07-01T00:00:00"/>
    <n v="1031"/>
    <x v="5"/>
    <x v="30"/>
    <x v="4"/>
    <n v="3"/>
    <n v="21500"/>
    <n v="64500"/>
    <n v="24000"/>
    <n v="2500"/>
    <n v="0.10416666666666667"/>
    <m/>
    <n v="6120"/>
    <x v="25"/>
    <n v="1380"/>
  </r>
  <r>
    <d v="2025-07-02T00:00:00"/>
    <n v="1032"/>
    <x v="10"/>
    <x v="31"/>
    <x v="1"/>
    <n v="2"/>
    <n v="27000"/>
    <n v="54000"/>
    <n v="30000"/>
    <n v="3000"/>
    <n v="0.1"/>
    <m/>
    <n v="5100"/>
    <x v="17"/>
    <n v="900"/>
  </r>
  <r>
    <d v="2025-07-03T00:00:00"/>
    <n v="1033"/>
    <x v="1"/>
    <x v="32"/>
    <x v="12"/>
    <n v="3"/>
    <n v="13000"/>
    <n v="39000"/>
    <n v="15000"/>
    <n v="2000"/>
    <n v="0.13333333333333333"/>
    <m/>
    <n v="3825.0000000000005"/>
    <x v="7"/>
    <n v="2175"/>
  </r>
  <r>
    <d v="2025-07-04T00:00:00"/>
    <n v="1034"/>
    <x v="12"/>
    <x v="33"/>
    <x v="4"/>
    <n v="2"/>
    <n v="15000"/>
    <n v="30000"/>
    <n v="18000"/>
    <n v="3000"/>
    <n v="0.16666666666666666"/>
    <m/>
    <n v="3060"/>
    <x v="22"/>
    <n v="2940"/>
  </r>
  <r>
    <d v="2025-07-05T00:00:00"/>
    <n v="1035"/>
    <x v="9"/>
    <x v="34"/>
    <x v="14"/>
    <n v="5"/>
    <n v="11000"/>
    <n v="55000"/>
    <n v="14000"/>
    <n v="3000"/>
    <n v="0.21428571428571427"/>
    <m/>
    <n v="5950"/>
    <x v="26"/>
    <n v="9050"/>
  </r>
  <r>
    <d v="2025-07-06T00:00:00"/>
    <n v="1036"/>
    <x v="13"/>
    <x v="35"/>
    <x v="4"/>
    <n v="6"/>
    <n v="19500"/>
    <n v="117000"/>
    <n v="22000"/>
    <n v="2500"/>
    <n v="0.11363636363636363"/>
    <m/>
    <n v="11220"/>
    <x v="27"/>
    <n v="3780"/>
  </r>
  <r>
    <d v="2025-07-07T00:00:00"/>
    <n v="1037"/>
    <x v="18"/>
    <x v="36"/>
    <x v="1"/>
    <n v="3"/>
    <n v="10000"/>
    <n v="30000"/>
    <n v="12500"/>
    <n v="2500"/>
    <n v="0.2"/>
    <m/>
    <n v="3187.5000000000005"/>
    <x v="3"/>
    <n v="4312.5"/>
  </r>
  <r>
    <d v="2025-07-08T00:00:00"/>
    <n v="1038"/>
    <x v="15"/>
    <x v="37"/>
    <x v="9"/>
    <n v="4"/>
    <n v="12000"/>
    <n v="48000"/>
    <n v="14500"/>
    <n v="2500"/>
    <n v="0.17241379310344829"/>
    <m/>
    <n v="4930"/>
    <x v="28"/>
    <n v="5070"/>
  </r>
  <r>
    <d v="2025-07-09T00:00:00"/>
    <n v="1039"/>
    <x v="20"/>
    <x v="38"/>
    <x v="14"/>
    <n v="3"/>
    <n v="6500"/>
    <n v="19500"/>
    <n v="8000"/>
    <n v="1500"/>
    <n v="0.1875"/>
    <m/>
    <n v="2040.0000000000002"/>
    <x v="29"/>
    <n v="2460"/>
  </r>
  <r>
    <d v="2025-07-10T00:00:00"/>
    <n v="1040"/>
    <x v="21"/>
    <x v="39"/>
    <x v="9"/>
    <n v="2"/>
    <n v="7000"/>
    <n v="14000"/>
    <n v="9500"/>
    <n v="2500"/>
    <n v="0.26315789473684209"/>
    <m/>
    <n v="1615.0000000000002"/>
    <x v="30"/>
    <n v="3385"/>
  </r>
  <r>
    <d v="2025-07-11T00:00:00"/>
    <n v="1041"/>
    <x v="11"/>
    <x v="40"/>
    <x v="1"/>
    <n v="3"/>
    <n v="26000"/>
    <n v="78000"/>
    <n v="29500"/>
    <n v="3500"/>
    <n v="0.11864406779661017"/>
    <m/>
    <n v="7522.5000000000009"/>
    <x v="31"/>
    <n v="2977.5"/>
  </r>
  <r>
    <d v="2025-07-12T00:00:00"/>
    <n v="1042"/>
    <x v="18"/>
    <x v="41"/>
    <x v="10"/>
    <n v="2"/>
    <n v="9000"/>
    <n v="18000"/>
    <n v="12000"/>
    <n v="3000"/>
    <n v="0.25"/>
    <m/>
    <n v="2040.0000000000002"/>
    <x v="29"/>
    <n v="3960"/>
  </r>
  <r>
    <d v="2025-07-13T00:00:00"/>
    <n v="1043"/>
    <x v="17"/>
    <x v="42"/>
    <x v="1"/>
    <n v="3"/>
    <n v="12000"/>
    <n v="36000"/>
    <n v="14500"/>
    <n v="2500"/>
    <n v="0.17241379310344829"/>
    <m/>
    <n v="3697.5000000000005"/>
    <x v="32"/>
    <n v="3802.5"/>
  </r>
  <r>
    <d v="2025-07-14T00:00:00"/>
    <n v="1044"/>
    <x v="22"/>
    <x v="43"/>
    <x v="1"/>
    <n v="1"/>
    <n v="20000"/>
    <n v="20000"/>
    <n v="22700"/>
    <n v="2700"/>
    <n v="0.11894273127753303"/>
    <m/>
    <n v="1929.5000000000002"/>
    <x v="33"/>
    <n v="770.5"/>
  </r>
  <r>
    <d v="2025-07-15T00:00:00"/>
    <n v="1045"/>
    <x v="2"/>
    <x v="44"/>
    <x v="15"/>
    <n v="7"/>
    <n v="4000"/>
    <n v="28000"/>
    <n v="6700"/>
    <n v="2700"/>
    <n v="0.40298507462686567"/>
    <m/>
    <n v="3986.5000000000005"/>
    <x v="34"/>
    <n v="14913.5"/>
  </r>
  <r>
    <d v="2025-07-16T00:00:00"/>
    <n v="1046"/>
    <x v="23"/>
    <x v="45"/>
    <x v="4"/>
    <n v="2"/>
    <n v="20000"/>
    <n v="40000"/>
    <n v="22300"/>
    <n v="2300"/>
    <n v="0.1031390134529148"/>
    <m/>
    <n v="3791.0000000000005"/>
    <x v="35"/>
    <n v="809"/>
  </r>
  <r>
    <d v="2025-07-17T00:00:00"/>
    <n v="1047"/>
    <x v="21"/>
    <x v="46"/>
    <x v="1"/>
    <n v="3"/>
    <n v="30000"/>
    <n v="90000"/>
    <n v="33000"/>
    <n v="3000"/>
    <n v="9.0909090909090912E-2"/>
    <m/>
    <n v="8415"/>
    <x v="36"/>
    <n v="585"/>
  </r>
  <r>
    <d v="2025-07-18T00:00:00"/>
    <n v="1048"/>
    <x v="1"/>
    <x v="47"/>
    <x v="2"/>
    <n v="2"/>
    <n v="22000"/>
    <n v="44000"/>
    <n v="24500"/>
    <n v="2500"/>
    <n v="0.10204081632653061"/>
    <m/>
    <n v="4165"/>
    <x v="37"/>
    <n v="835"/>
  </r>
  <r>
    <d v="2025-07-19T00:00:00"/>
    <n v="1049"/>
    <x v="11"/>
    <x v="48"/>
    <x v="11"/>
    <n v="3"/>
    <n v="15000"/>
    <n v="45000"/>
    <n v="19000"/>
    <n v="4000"/>
    <n v="0.21052631578947367"/>
    <m/>
    <n v="4845"/>
    <x v="38"/>
    <n v="7155"/>
  </r>
  <r>
    <d v="2025-07-20T00:00:00"/>
    <n v="1050"/>
    <x v="19"/>
    <x v="49"/>
    <x v="4"/>
    <n v="3"/>
    <n v="12000"/>
    <n v="36000"/>
    <n v="14500"/>
    <n v="2500"/>
    <n v="0.17241379310344829"/>
    <m/>
    <n v="3697.5000000000005"/>
    <x v="32"/>
    <n v="3802.5"/>
  </r>
  <r>
    <d v="2025-07-21T00:00:00"/>
    <n v="1051"/>
    <x v="18"/>
    <x v="50"/>
    <x v="12"/>
    <n v="2"/>
    <n v="18000"/>
    <n v="36000"/>
    <n v="20000"/>
    <n v="2000"/>
    <n v="0.1"/>
    <m/>
    <n v="3400.0000000000005"/>
    <x v="13"/>
    <n v="600"/>
  </r>
  <r>
    <d v="2025-07-22T00:00:00"/>
    <n v="1052"/>
    <x v="17"/>
    <x v="51"/>
    <x v="1"/>
    <n v="3"/>
    <n v="15000"/>
    <n v="45000"/>
    <n v="19500"/>
    <n v="4500"/>
    <n v="0.23076923076923078"/>
    <m/>
    <n v="4972.5"/>
    <x v="39"/>
    <n v="8527.5"/>
  </r>
  <r>
    <d v="2025-07-23T00:00:00"/>
    <n v="1053"/>
    <x v="12"/>
    <x v="52"/>
    <x v="12"/>
    <n v="2"/>
    <n v="13500"/>
    <n v="27000"/>
    <n v="15500"/>
    <n v="2000"/>
    <n v="0.12903225806451613"/>
    <m/>
    <n v="2635"/>
    <x v="40"/>
    <n v="1365"/>
  </r>
  <r>
    <d v="2025-07-24T00:00:00"/>
    <n v="1054"/>
    <x v="24"/>
    <x v="53"/>
    <x v="10"/>
    <n v="3"/>
    <n v="10000"/>
    <n v="30000"/>
    <n v="13700"/>
    <n v="3700"/>
    <n v="0.27007299270072993"/>
    <m/>
    <n v="3493.5000000000005"/>
    <x v="41"/>
    <n v="7606.5"/>
  </r>
  <r>
    <d v="2025-07-25T00:00:00"/>
    <n v="1055"/>
    <x v="15"/>
    <x v="54"/>
    <x v="4"/>
    <n v="2"/>
    <n v="20000"/>
    <n v="40000"/>
    <n v="22600"/>
    <n v="2600"/>
    <n v="0.11504424778761062"/>
    <m/>
    <n v="3842.0000000000005"/>
    <x v="42"/>
    <n v="1358"/>
  </r>
  <r>
    <d v="2025-07-26T00:00:00"/>
    <n v="1056"/>
    <x v="20"/>
    <x v="55"/>
    <x v="1"/>
    <n v="3"/>
    <n v="15000"/>
    <n v="45000"/>
    <n v="18400"/>
    <n v="3400"/>
    <n v="0.18478260869565216"/>
    <m/>
    <n v="4692"/>
    <x v="43"/>
    <n v="5508"/>
  </r>
  <r>
    <d v="2025-07-27T00:00:00"/>
    <n v="1057"/>
    <x v="23"/>
    <x v="56"/>
    <x v="1"/>
    <n v="2"/>
    <n v="26500"/>
    <n v="53000"/>
    <n v="29400"/>
    <n v="2900"/>
    <n v="9.8639455782312924E-2"/>
    <m/>
    <n v="4998"/>
    <x v="44"/>
    <n v="802"/>
  </r>
  <r>
    <d v="2025-07-28T00:00:00"/>
    <n v="1058"/>
    <x v="1"/>
    <x v="57"/>
    <x v="12"/>
    <n v="3"/>
    <n v="19000"/>
    <n v="57000"/>
    <n v="23450"/>
    <n v="4450"/>
    <n v="0.18976545842217485"/>
    <m/>
    <n v="5979.75"/>
    <x v="45"/>
    <n v="7370.25"/>
  </r>
  <r>
    <d v="2025-07-29T00:00:00"/>
    <n v="1059"/>
    <x v="24"/>
    <x v="58"/>
    <x v="12"/>
    <n v="2"/>
    <n v="18000"/>
    <n v="36000"/>
    <n v="21560"/>
    <n v="3560"/>
    <n v="0.16512059369202226"/>
    <m/>
    <n v="3665.2000000000003"/>
    <x v="46"/>
    <n v="3454.8000000000029"/>
  </r>
  <r>
    <d v="2025-07-30T00:00:00"/>
    <n v="1060"/>
    <x v="20"/>
    <x v="59"/>
    <x v="7"/>
    <n v="3"/>
    <n v="30000"/>
    <n v="90000"/>
    <n v="33420"/>
    <n v="3420"/>
    <n v="0.10233393177737882"/>
    <m/>
    <n v="8522.1"/>
    <x v="47"/>
    <n v="1737.8999999999942"/>
  </r>
  <r>
    <d v="2025-07-31T00:00:00"/>
    <n v="1061"/>
    <x v="8"/>
    <x v="60"/>
    <x v="1"/>
    <n v="2"/>
    <n v="15000"/>
    <n v="30000"/>
    <n v="17350"/>
    <n v="2350"/>
    <n v="0.13544668587896252"/>
    <m/>
    <n v="2949.5"/>
    <x v="48"/>
    <n v="1750.5"/>
  </r>
  <r>
    <d v="2025-08-01T00:00:00"/>
    <n v="1062"/>
    <x v="15"/>
    <x v="61"/>
    <x v="1"/>
    <n v="4"/>
    <n v="19000"/>
    <n v="76000"/>
    <n v="22320"/>
    <n v="3320"/>
    <n v="0.14874551971326164"/>
    <m/>
    <n v="7588.8"/>
    <x v="49"/>
    <n v="5691.1999999999971"/>
  </r>
  <r>
    <d v="2025-08-02T00:00:00"/>
    <n v="1063"/>
    <x v="13"/>
    <x v="62"/>
    <x v="1"/>
    <n v="3"/>
    <n v="21000"/>
    <n v="63000"/>
    <n v="24000"/>
    <n v="3000"/>
    <n v="0.125"/>
    <m/>
    <n v="6120"/>
    <x v="25"/>
    <n v="2880"/>
  </r>
  <r>
    <d v="2025-08-03T00:00:00"/>
    <n v="1064"/>
    <x v="17"/>
    <x v="63"/>
    <x v="9"/>
    <n v="2"/>
    <n v="23000"/>
    <n v="46000"/>
    <n v="24750"/>
    <n v="1750"/>
    <n v="7.0707070707070704E-2"/>
    <m/>
    <n v="4207.5"/>
    <x v="50"/>
    <n v="-707.5"/>
  </r>
  <r>
    <d v="2025-08-04T00:00:00"/>
    <n v="1065"/>
    <x v="25"/>
    <x v="64"/>
    <x v="12"/>
    <n v="3"/>
    <n v="11500"/>
    <n v="34500"/>
    <n v="15000"/>
    <n v="3500"/>
    <n v="0.23333333333333334"/>
    <m/>
    <n v="3825.0000000000005"/>
    <x v="7"/>
    <n v="6675"/>
  </r>
  <r>
    <d v="2025-08-05T00:00:00"/>
    <n v="1066"/>
    <x v="24"/>
    <x v="65"/>
    <x v="12"/>
    <n v="3"/>
    <n v="9000"/>
    <n v="27000"/>
    <n v="10500"/>
    <n v="1500"/>
    <n v="0.14285714285714285"/>
    <m/>
    <n v="2677.5"/>
    <x v="51"/>
    <n v="1822.5"/>
  </r>
  <r>
    <d v="2025-08-06T00:00:00"/>
    <n v="1067"/>
    <x v="1"/>
    <x v="66"/>
    <x v="1"/>
    <n v="2"/>
    <n v="20000"/>
    <n v="40000"/>
    <n v="23410"/>
    <n v="3410"/>
    <n v="0.14566424604869713"/>
    <m/>
    <n v="3979.7000000000003"/>
    <x v="52"/>
    <n v="2840.3000000000029"/>
  </r>
  <r>
    <d v="2025-08-07T00:00:00"/>
    <n v="1068"/>
    <x v="11"/>
    <x v="67"/>
    <x v="1"/>
    <n v="3"/>
    <n v="47000"/>
    <n v="141000"/>
    <n v="49500"/>
    <n v="2500"/>
    <n v="5.0505050505050504E-2"/>
    <m/>
    <n v="12622.5"/>
    <x v="53"/>
    <n v="-5122.5"/>
  </r>
  <r>
    <d v="2025-08-08T00:00:00"/>
    <n v="1069"/>
    <x v="18"/>
    <x v="68"/>
    <x v="5"/>
    <n v="2"/>
    <n v="12000"/>
    <n v="24000"/>
    <n v="15000"/>
    <n v="3000"/>
    <n v="0.2"/>
    <m/>
    <n v="2550"/>
    <x v="4"/>
    <n v="3450"/>
  </r>
  <r>
    <d v="2025-08-09T00:00:00"/>
    <n v="1070"/>
    <x v="19"/>
    <x v="69"/>
    <x v="12"/>
    <n v="4"/>
    <n v="9000"/>
    <n v="36000"/>
    <n v="12300"/>
    <n v="3300"/>
    <n v="0.26829268292682928"/>
    <m/>
    <n v="4182"/>
    <x v="54"/>
    <n v="9018"/>
  </r>
  <r>
    <d v="2025-08-10T00:00:00"/>
    <n v="1071"/>
    <x v="19"/>
    <x v="70"/>
    <x v="5"/>
    <n v="3"/>
    <n v="13000"/>
    <n v="39000"/>
    <n v="15600"/>
    <n v="2600"/>
    <n v="0.16666666666666666"/>
    <m/>
    <n v="3978.0000000000005"/>
    <x v="55"/>
    <n v="3822"/>
  </r>
  <r>
    <d v="2025-08-11T00:00:00"/>
    <n v="1072"/>
    <x v="20"/>
    <x v="71"/>
    <x v="1"/>
    <n v="2"/>
    <n v="14000"/>
    <n v="28000"/>
    <n v="15900"/>
    <n v="1900"/>
    <n v="0.11949685534591195"/>
    <m/>
    <n v="2703"/>
    <x v="56"/>
    <n v="1097"/>
  </r>
  <r>
    <d v="2025-08-12T00:00:00"/>
    <n v="1073"/>
    <x v="23"/>
    <x v="72"/>
    <x v="12"/>
    <n v="2"/>
    <n v="21000"/>
    <n v="42000"/>
    <n v="24000"/>
    <n v="3000"/>
    <n v="0.125"/>
    <m/>
    <n v="4080.0000000000005"/>
    <x v="57"/>
    <n v="1920"/>
  </r>
  <r>
    <d v="2025-08-13T00:00:00"/>
    <n v="1074"/>
    <x v="26"/>
    <x v="73"/>
    <x v="10"/>
    <n v="3"/>
    <n v="23000"/>
    <n v="69000"/>
    <n v="25400"/>
    <n v="2400"/>
    <n v="9.4488188976377951E-2"/>
    <m/>
    <n v="6477.0000000000009"/>
    <x v="58"/>
    <n v="723"/>
  </r>
  <r>
    <d v="2025-08-14T00:00:00"/>
    <n v="1075"/>
    <x v="27"/>
    <x v="74"/>
    <x v="1"/>
    <n v="2"/>
    <n v="20000"/>
    <n v="40000"/>
    <n v="21700"/>
    <n v="1700"/>
    <n v="7.8341013824884786E-2"/>
    <m/>
    <n v="3689.0000000000005"/>
    <x v="59"/>
    <n v="-289"/>
  </r>
  <r>
    <d v="2025-08-15T00:00:00"/>
    <n v="1076"/>
    <x v="13"/>
    <x v="75"/>
    <x v="10"/>
    <n v="4"/>
    <n v="14000"/>
    <n v="56000"/>
    <n v="16000"/>
    <n v="2000"/>
    <n v="0.125"/>
    <m/>
    <n v="5440"/>
    <x v="60"/>
    <n v="2560"/>
  </r>
  <r>
    <d v="2025-08-16T00:00:00"/>
    <n v="1077"/>
    <x v="11"/>
    <x v="76"/>
    <x v="10"/>
    <n v="3"/>
    <n v="19000"/>
    <n v="57000"/>
    <n v="20900"/>
    <n v="1900"/>
    <n v="9.0909090909090912E-2"/>
    <m/>
    <n v="5329.5"/>
    <x v="61"/>
    <n v="370.5"/>
  </r>
  <r>
    <d v="2025-08-17T00:00:00"/>
    <n v="1078"/>
    <x v="12"/>
    <x v="77"/>
    <x v="11"/>
    <n v="3"/>
    <n v="10000"/>
    <n v="30000"/>
    <n v="13150"/>
    <n v="3150"/>
    <n v="0.23954372623574144"/>
    <m/>
    <n v="3353.2500000000005"/>
    <x v="62"/>
    <n v="6096.75"/>
  </r>
  <r>
    <d v="2025-08-18T00:00:00"/>
    <n v="1079"/>
    <x v="28"/>
    <x v="78"/>
    <x v="12"/>
    <n v="3"/>
    <n v="6000"/>
    <n v="18000"/>
    <n v="8300"/>
    <n v="2300"/>
    <n v="0.27710843373493976"/>
    <m/>
    <n v="2116.5"/>
    <x v="63"/>
    <n v="4783.5"/>
  </r>
  <r>
    <d v="2025-08-19T00:00:00"/>
    <n v="1080"/>
    <x v="24"/>
    <x v="79"/>
    <x v="12"/>
    <n v="2"/>
    <n v="11000"/>
    <n v="22000"/>
    <n v="14000"/>
    <n v="3000"/>
    <n v="0.21428571428571427"/>
    <m/>
    <n v="2380"/>
    <x v="64"/>
    <n v="3620"/>
  </r>
  <r>
    <d v="2025-08-20T00:00:00"/>
    <n v="1081"/>
    <x v="17"/>
    <x v="80"/>
    <x v="16"/>
    <n v="6"/>
    <n v="14500"/>
    <n v="87000"/>
    <n v="16000"/>
    <n v="1500"/>
    <n v="9.375E-2"/>
    <m/>
    <n v="8160.0000000000009"/>
    <x v="65"/>
    <n v="840"/>
  </r>
  <r>
    <d v="2025-08-21T00:00:00"/>
    <n v="1082"/>
    <x v="25"/>
    <x v="81"/>
    <x v="10"/>
    <n v="3"/>
    <n v="34000"/>
    <n v="102000"/>
    <n v="36580"/>
    <n v="2580"/>
    <n v="7.0530344450519408E-2"/>
    <m/>
    <n v="9327.9000000000015"/>
    <x v="66"/>
    <n v="-1587.8999999999942"/>
  </r>
  <r>
    <d v="2025-08-22T00:00:00"/>
    <n v="1083"/>
    <x v="26"/>
    <x v="82"/>
    <x v="17"/>
    <n v="2"/>
    <n v="20000"/>
    <n v="40000"/>
    <n v="22550"/>
    <n v="2550"/>
    <n v="0.1130820399113082"/>
    <m/>
    <n v="3833.5000000000005"/>
    <x v="67"/>
    <n v="1266.5"/>
  </r>
  <r>
    <d v="2025-08-23T00:00:00"/>
    <n v="1084"/>
    <x v="19"/>
    <x v="83"/>
    <x v="9"/>
    <n v="3"/>
    <n v="13000"/>
    <n v="39000"/>
    <n v="15000"/>
    <n v="2000"/>
    <n v="0.13333333333333333"/>
    <m/>
    <n v="3825.0000000000005"/>
    <x v="7"/>
    <n v="2175"/>
  </r>
  <r>
    <d v="2025-08-24T00:00:00"/>
    <n v="1085"/>
    <x v="18"/>
    <x v="84"/>
    <x v="1"/>
    <n v="3"/>
    <n v="8000"/>
    <n v="24000"/>
    <n v="10500"/>
    <n v="2500"/>
    <n v="0.23809523809523808"/>
    <m/>
    <n v="2677.5"/>
    <x v="51"/>
    <n v="4822.5"/>
  </r>
  <r>
    <d v="2025-08-25T00:00:00"/>
    <n v="1086"/>
    <x v="1"/>
    <x v="85"/>
    <x v="1"/>
    <n v="3"/>
    <n v="12000"/>
    <n v="36000"/>
    <n v="14000"/>
    <n v="2000"/>
    <n v="0.14285714285714285"/>
    <m/>
    <n v="3570.0000000000005"/>
    <x v="68"/>
    <n v="2430"/>
  </r>
  <r>
    <d v="2025-08-26T00:00:00"/>
    <n v="1087"/>
    <x v="20"/>
    <x v="86"/>
    <x v="12"/>
    <n v="2"/>
    <n v="10000"/>
    <n v="20000"/>
    <n v="12400"/>
    <n v="2400"/>
    <n v="0.19354838709677419"/>
    <m/>
    <n v="2108"/>
    <x v="69"/>
    <n v="2692"/>
  </r>
  <r>
    <d v="2025-08-27T00:00:00"/>
    <n v="1088"/>
    <x v="23"/>
    <x v="87"/>
    <x v="9"/>
    <n v="3"/>
    <n v="16000"/>
    <n v="48000"/>
    <n v="17840"/>
    <n v="1840"/>
    <n v="0.1031390134529148"/>
    <m/>
    <n v="4549.2000000000007"/>
    <x v="70"/>
    <n v="970.80000000000291"/>
  </r>
  <r>
    <d v="2025-08-28T00:00:00"/>
    <n v="1089"/>
    <x v="11"/>
    <x v="88"/>
    <x v="4"/>
    <n v="2"/>
    <n v="14000"/>
    <n v="28000"/>
    <n v="16520"/>
    <n v="2520"/>
    <n v="0.15254237288135594"/>
    <m/>
    <n v="2808.4"/>
    <x v="71"/>
    <n v="2231.5999999999985"/>
  </r>
  <r>
    <d v="2025-08-29T00:00:00"/>
    <n v="1090"/>
    <x v="2"/>
    <x v="89"/>
    <x v="1"/>
    <n v="3"/>
    <n v="9000"/>
    <n v="27000"/>
    <n v="11390"/>
    <n v="2390"/>
    <n v="0.20983318700614575"/>
    <m/>
    <n v="2904.4500000000003"/>
    <x v="72"/>
    <n v="4265.5499999999993"/>
  </r>
  <r>
    <d v="2025-08-30T00:00:00"/>
    <n v="1091"/>
    <x v="27"/>
    <x v="51"/>
    <x v="1"/>
    <n v="2"/>
    <n v="15000"/>
    <n v="30000"/>
    <n v="17630"/>
    <n v="2630"/>
    <n v="0.14917753828701077"/>
    <m/>
    <n v="2997.1000000000004"/>
    <x v="73"/>
    <n v="2262.9000000000015"/>
  </r>
  <r>
    <d v="2025-08-31T00:00:00"/>
    <n v="1092"/>
    <x v="20"/>
    <x v="90"/>
    <x v="9"/>
    <n v="3"/>
    <n v="15500"/>
    <n v="46500"/>
    <n v="19000"/>
    <n v="3500"/>
    <n v="0.18421052631578946"/>
    <m/>
    <n v="4845"/>
    <x v="38"/>
    <n v="5655"/>
  </r>
  <r>
    <d v="2025-09-01T00:00:00"/>
    <n v="1093"/>
    <x v="11"/>
    <x v="91"/>
    <x v="9"/>
    <n v="2"/>
    <n v="22000"/>
    <n v="44000"/>
    <n v="24365"/>
    <n v="2365"/>
    <n v="9.7065462753950338E-2"/>
    <m/>
    <n v="4142.05"/>
    <x v="74"/>
    <n v="587.94999999999709"/>
  </r>
  <r>
    <d v="2025-09-02T00:00:00"/>
    <n v="1094"/>
    <x v="1"/>
    <x v="92"/>
    <x v="4"/>
    <n v="3"/>
    <n v="23500"/>
    <n v="70500"/>
    <n v="25000"/>
    <n v="1500"/>
    <n v="0.06"/>
    <m/>
    <n v="6375.0000000000009"/>
    <x v="75"/>
    <n v="-1875"/>
  </r>
  <r>
    <d v="2025-09-03T00:00:00"/>
    <n v="1095"/>
    <x v="11"/>
    <x v="93"/>
    <x v="4"/>
    <n v="2"/>
    <n v="14000"/>
    <n v="28000"/>
    <n v="16300"/>
    <n v="2300"/>
    <n v="0.1411042944785276"/>
    <m/>
    <n v="2771"/>
    <x v="76"/>
    <n v="1829"/>
  </r>
  <r>
    <d v="2025-09-04T00:00:00"/>
    <n v="1096"/>
    <x v="29"/>
    <x v="94"/>
    <x v="2"/>
    <n v="4"/>
    <n v="6500"/>
    <n v="26000"/>
    <n v="8000"/>
    <n v="1500"/>
    <n v="0.1875"/>
    <m/>
    <n v="2720"/>
    <x v="77"/>
    <n v="3280"/>
  </r>
  <r>
    <d v="2025-09-05T00:00:00"/>
    <n v="1097"/>
    <x v="18"/>
    <x v="95"/>
    <x v="1"/>
    <n v="5"/>
    <n v="13000"/>
    <n v="65000"/>
    <n v="15000"/>
    <n v="2000"/>
    <n v="0.13333333333333333"/>
    <m/>
    <n v="6375.0000000000009"/>
    <x v="75"/>
    <n v="3625"/>
  </r>
  <r>
    <d v="2025-09-06T00:00:00"/>
    <n v="1098"/>
    <x v="12"/>
    <x v="96"/>
    <x v="1"/>
    <n v="2"/>
    <n v="15000"/>
    <n v="30000"/>
    <n v="17340"/>
    <n v="2340"/>
    <n v="0.13494809688581316"/>
    <m/>
    <n v="2947.8"/>
    <x v="78"/>
    <n v="1732.2000000000007"/>
  </r>
  <r>
    <d v="2025-09-07T00:00:00"/>
    <n v="1099"/>
    <x v="13"/>
    <x v="97"/>
    <x v="12"/>
    <n v="3"/>
    <n v="27000"/>
    <n v="81000"/>
    <n v="29430"/>
    <n v="2430"/>
    <n v="8.2568807339449546E-2"/>
    <m/>
    <n v="7504.6500000000005"/>
    <x v="79"/>
    <n v="-214.64999999999418"/>
  </r>
  <r>
    <d v="2025-09-08T00:00:00"/>
    <n v="1100"/>
    <x v="28"/>
    <x v="98"/>
    <x v="1"/>
    <n v="4"/>
    <n v="22000"/>
    <n v="88000"/>
    <n v="24000"/>
    <n v="2000"/>
    <n v="8.3333333333333329E-2"/>
    <m/>
    <n v="8160.0000000000009"/>
    <x v="65"/>
    <n v="-160"/>
  </r>
  <r>
    <d v="2025-09-09T00:00:00"/>
    <n v="1101"/>
    <x v="25"/>
    <x v="99"/>
    <x v="12"/>
    <n v="2"/>
    <n v="14000"/>
    <n v="28000"/>
    <n v="18320"/>
    <n v="4320"/>
    <n v="0.23580786026200873"/>
    <m/>
    <n v="3114.4"/>
    <x v="80"/>
    <n v="5525.59999999999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5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 chartFormat="9">
  <location ref="L27:M34" firstHeaderRow="1" firstDataRow="1" firstDataCol="1"/>
  <pivotFields count="15">
    <pivotField showAll="0"/>
    <pivotField showAll="0"/>
    <pivotField showAll="0"/>
    <pivotField axis="axisRow" measureFilter="1" sortType="ascending" sumSubtotal="1" showAll="0">
      <items count="101">
        <item x="8"/>
        <item x="71"/>
        <item x="60"/>
        <item x="75"/>
        <item x="7"/>
        <item x="30"/>
        <item x="27"/>
        <item x="24"/>
        <item x="31"/>
        <item x="85"/>
        <item x="42"/>
        <item x="89"/>
        <item x="36"/>
        <item x="51"/>
        <item x="18"/>
        <item x="81"/>
        <item x="59"/>
        <item x="92"/>
        <item x="91"/>
        <item x="47"/>
        <item x="2"/>
        <item x="25"/>
        <item x="98"/>
        <item x="83"/>
        <item x="82"/>
        <item x="66"/>
        <item x="13"/>
        <item x="39"/>
        <item x="84"/>
        <item x="9"/>
        <item x="14"/>
        <item x="17"/>
        <item x="69"/>
        <item x="77"/>
        <item x="53"/>
        <item x="67"/>
        <item x="23"/>
        <item x="86"/>
        <item x="43"/>
        <item x="41"/>
        <item x="3"/>
        <item x="50"/>
        <item x="68"/>
        <item x="46"/>
        <item x="28"/>
        <item x="1"/>
        <item x="97"/>
        <item x="16"/>
        <item x="55"/>
        <item x="94"/>
        <item x="34"/>
        <item x="70"/>
        <item x="72"/>
        <item x="10"/>
        <item x="29"/>
        <item x="76"/>
        <item x="57"/>
        <item x="58"/>
        <item x="22"/>
        <item x="26"/>
        <item x="90"/>
        <item x="5"/>
        <item x="93"/>
        <item x="96"/>
        <item x="78"/>
        <item x="33"/>
        <item x="40"/>
        <item x="62"/>
        <item x="35"/>
        <item x="61"/>
        <item x="56"/>
        <item x="52"/>
        <item x="48"/>
        <item x="38"/>
        <item x="79"/>
        <item x="21"/>
        <item x="45"/>
        <item x="6"/>
        <item x="95"/>
        <item x="99"/>
        <item x="32"/>
        <item x="37"/>
        <item x="11"/>
        <item x="19"/>
        <item x="15"/>
        <item x="12"/>
        <item x="64"/>
        <item x="20"/>
        <item x="49"/>
        <item x="74"/>
        <item x="73"/>
        <item x="87"/>
        <item x="80"/>
        <item x="44"/>
        <item x="63"/>
        <item x="54"/>
        <item x="65"/>
        <item x="4"/>
        <item x="88"/>
        <item x="0"/>
        <item t="sum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82">
        <item x="10"/>
        <item x="24"/>
        <item x="14"/>
        <item x="11"/>
        <item x="6"/>
        <item x="1"/>
        <item x="30"/>
        <item x="9"/>
        <item x="33"/>
        <item x="5"/>
        <item x="29"/>
        <item x="69"/>
        <item x="63"/>
        <item x="15"/>
        <item x="64"/>
        <item x="4"/>
        <item x="40"/>
        <item x="51"/>
        <item x="56"/>
        <item x="77"/>
        <item x="76"/>
        <item x="71"/>
        <item x="72"/>
        <item x="78"/>
        <item x="48"/>
        <item x="73"/>
        <item x="22"/>
        <item x="80"/>
        <item x="3"/>
        <item x="8"/>
        <item x="12"/>
        <item x="62"/>
        <item x="13"/>
        <item x="41"/>
        <item x="68"/>
        <item x="46"/>
        <item x="59"/>
        <item x="32"/>
        <item x="35"/>
        <item x="7"/>
        <item x="67"/>
        <item x="42"/>
        <item x="55"/>
        <item x="52"/>
        <item x="34"/>
        <item x="57"/>
        <item x="74"/>
        <item x="37"/>
        <item x="54"/>
        <item x="50"/>
        <item x="16"/>
        <item x="21"/>
        <item x="70"/>
        <item x="2"/>
        <item x="43"/>
        <item x="38"/>
        <item x="28"/>
        <item x="39"/>
        <item x="44"/>
        <item x="17"/>
        <item x="61"/>
        <item x="60"/>
        <item x="18"/>
        <item x="26"/>
        <item x="45"/>
        <item x="25"/>
        <item x="75"/>
        <item x="58"/>
        <item x="20"/>
        <item x="79"/>
        <item x="31"/>
        <item x="49"/>
        <item x="65"/>
        <item x="36"/>
        <item x="47"/>
        <item x="66"/>
        <item x="19"/>
        <item x="23"/>
        <item x="27"/>
        <item x="53"/>
        <item x="0"/>
        <item t="default"/>
      </items>
    </pivotField>
    <pivotField showAll="0"/>
  </pivotFields>
  <rowFields count="1">
    <field x="3"/>
  </rowFields>
  <rowItems count="7">
    <i>
      <x v="99"/>
    </i>
    <i>
      <x v="53"/>
    </i>
    <i>
      <x v="47"/>
    </i>
    <i>
      <x v="82"/>
    </i>
    <i>
      <x v="77"/>
    </i>
    <i>
      <x v="45"/>
    </i>
    <i t="grand">
      <x/>
    </i>
  </rowItems>
  <colItems count="1">
    <i/>
  </colItems>
  <dataFields count="1">
    <dataField name="Sum of Net Revenue" fld="13" baseField="3" baseItem="6"/>
  </dataFields>
  <pivotTableStyleInfo name="PivotStyleLight16" showRowHeaders="1" showColHeaders="1" showLastColumn="1"/>
  <filters count="1">
    <filter evalOrder="-1" fld="3" iMeasureFld="0" id="5" type="count">
      <autoFilter ref="A1">
        <filterColumn colId="0">
          <top10 top="0" filterVal="6" 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0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 chartFormat="4">
  <location ref="D26:E35" firstHeaderRow="1" firstDataRow="1" firstDataCol="1"/>
  <pivotFields count="15">
    <pivotField showAll="0"/>
    <pivotField showAll="0"/>
    <pivotField showAll="0"/>
    <pivotField axis="axisRow" measureFilter="1" showAll="0">
      <items count="101">
        <item x="8"/>
        <item x="71"/>
        <item x="60"/>
        <item x="75"/>
        <item x="7"/>
        <item x="30"/>
        <item x="27"/>
        <item x="24"/>
        <item x="31"/>
        <item x="85"/>
        <item x="42"/>
        <item x="89"/>
        <item x="36"/>
        <item x="51"/>
        <item x="18"/>
        <item x="81"/>
        <item x="59"/>
        <item x="92"/>
        <item x="91"/>
        <item x="47"/>
        <item x="2"/>
        <item x="25"/>
        <item x="98"/>
        <item x="83"/>
        <item x="82"/>
        <item x="66"/>
        <item x="13"/>
        <item x="39"/>
        <item x="84"/>
        <item x="9"/>
        <item x="14"/>
        <item x="17"/>
        <item x="69"/>
        <item x="77"/>
        <item x="53"/>
        <item x="67"/>
        <item x="23"/>
        <item x="86"/>
        <item x="43"/>
        <item x="41"/>
        <item x="3"/>
        <item x="50"/>
        <item x="68"/>
        <item x="46"/>
        <item x="28"/>
        <item x="1"/>
        <item x="97"/>
        <item x="16"/>
        <item x="55"/>
        <item x="94"/>
        <item x="34"/>
        <item x="70"/>
        <item x="72"/>
        <item x="10"/>
        <item x="29"/>
        <item x="76"/>
        <item x="57"/>
        <item x="58"/>
        <item x="22"/>
        <item x="26"/>
        <item x="90"/>
        <item x="5"/>
        <item x="93"/>
        <item x="96"/>
        <item x="78"/>
        <item x="33"/>
        <item x="40"/>
        <item x="62"/>
        <item x="35"/>
        <item x="61"/>
        <item x="56"/>
        <item x="52"/>
        <item x="48"/>
        <item x="38"/>
        <item x="79"/>
        <item x="21"/>
        <item x="45"/>
        <item x="6"/>
        <item x="95"/>
        <item x="99"/>
        <item x="32"/>
        <item x="37"/>
        <item x="11"/>
        <item x="19"/>
        <item x="15"/>
        <item x="12"/>
        <item x="64"/>
        <item x="20"/>
        <item x="49"/>
        <item x="74"/>
        <item x="73"/>
        <item x="87"/>
        <item x="80"/>
        <item x="44"/>
        <item x="63"/>
        <item x="54"/>
        <item x="65"/>
        <item x="4"/>
        <item x="88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 v="13"/>
    </i>
    <i>
      <x v="44"/>
    </i>
    <i>
      <x v="50"/>
    </i>
    <i>
      <x v="58"/>
    </i>
    <i>
      <x v="68"/>
    </i>
    <i>
      <x v="78"/>
    </i>
    <i>
      <x v="92"/>
    </i>
    <i>
      <x v="93"/>
    </i>
    <i t="grand">
      <x/>
    </i>
  </rowItems>
  <colItems count="1">
    <i/>
  </colItems>
  <dataFields count="1">
    <dataField name="Sum of Quantity Sold" fld="5" baseField="3" baseItem="3"/>
  </dataFields>
  <pivotTableStyleInfo name="PivotStyleLight16" showRowHeaders="1" showColHeaders="1" showLastColumn="1"/>
  <filters count="1">
    <filter evalOrder="-1" fld="3" iMeasureFld="0" id="3" type="count">
      <autoFilter ref="A1">
        <filterColumn colId="0">
          <top10 filterVal="7" 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7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 chartFormat="4">
  <location ref="M3:N22" firstHeaderRow="1" firstDataRow="1" firstDataCol="1"/>
  <pivotFields count="15">
    <pivotField showAll="0"/>
    <pivotField showAll="0"/>
    <pivotField showAll="0"/>
    <pivotField showAll="0"/>
    <pivotField axis="axisRow" showAll="0">
      <items count="19">
        <item x="16"/>
        <item x="14"/>
        <item x="12"/>
        <item x="11"/>
        <item x="10"/>
        <item x="3"/>
        <item x="13"/>
        <item x="5"/>
        <item x="17"/>
        <item x="1"/>
        <item x="9"/>
        <item x="8"/>
        <item x="2"/>
        <item x="15"/>
        <item x="7"/>
        <item x="4"/>
        <item x="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Gross Profit" fld="14" baseField="4" baseItem="10" numFmtId="178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3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>
  <location ref="I3:J104" firstHeaderRow="1" firstDataRow="1" firstDataCol="1"/>
  <pivotFields count="15">
    <pivotField showAll="0"/>
    <pivotField showAll="0"/>
    <pivotField showAll="0"/>
    <pivotField axis="axisRow" sortType="ascending" showAll="0">
      <items count="101">
        <item x="8"/>
        <item x="71"/>
        <item x="60"/>
        <item x="75"/>
        <item x="7"/>
        <item x="30"/>
        <item x="27"/>
        <item x="24"/>
        <item x="31"/>
        <item x="85"/>
        <item x="42"/>
        <item x="89"/>
        <item x="36"/>
        <item x="51"/>
        <item x="18"/>
        <item x="81"/>
        <item x="59"/>
        <item x="92"/>
        <item x="91"/>
        <item x="47"/>
        <item x="2"/>
        <item x="25"/>
        <item x="98"/>
        <item x="83"/>
        <item x="82"/>
        <item x="66"/>
        <item x="13"/>
        <item x="39"/>
        <item x="84"/>
        <item x="9"/>
        <item x="14"/>
        <item x="17"/>
        <item x="69"/>
        <item x="77"/>
        <item x="53"/>
        <item x="67"/>
        <item x="23"/>
        <item x="86"/>
        <item x="43"/>
        <item x="41"/>
        <item x="3"/>
        <item x="50"/>
        <item x="68"/>
        <item x="46"/>
        <item x="28"/>
        <item x="1"/>
        <item x="97"/>
        <item x="16"/>
        <item x="55"/>
        <item x="94"/>
        <item x="34"/>
        <item x="70"/>
        <item x="72"/>
        <item x="10"/>
        <item x="29"/>
        <item x="76"/>
        <item x="57"/>
        <item x="58"/>
        <item x="22"/>
        <item x="26"/>
        <item x="90"/>
        <item x="5"/>
        <item x="93"/>
        <item x="96"/>
        <item x="78"/>
        <item x="33"/>
        <item x="40"/>
        <item x="62"/>
        <item x="35"/>
        <item x="61"/>
        <item x="56"/>
        <item x="52"/>
        <item x="48"/>
        <item x="38"/>
        <item x="79"/>
        <item x="21"/>
        <item x="45"/>
        <item x="6"/>
        <item x="95"/>
        <item x="99"/>
        <item x="32"/>
        <item x="37"/>
        <item x="11"/>
        <item x="19"/>
        <item x="15"/>
        <item x="12"/>
        <item x="64"/>
        <item x="20"/>
        <item x="49"/>
        <item x="74"/>
        <item x="73"/>
        <item x="87"/>
        <item x="80"/>
        <item x="44"/>
        <item x="63"/>
        <item x="54"/>
        <item x="65"/>
        <item x="4"/>
        <item x="88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3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Items count="1">
    <i/>
  </colItems>
  <dataFields count="1">
    <dataField name="Sum of Profit" fld="9" baseField="3" baseItem="10" numFmtId="178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0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 chartFormat="5">
  <location ref="E2:F21" firstHeaderRow="1" firstDataRow="1" firstDataCol="1"/>
  <pivotFields count="15">
    <pivotField showAll="0"/>
    <pivotField showAll="0"/>
    <pivotField showAll="0"/>
    <pivotField showAll="0"/>
    <pivotField axis="axisRow" showAll="0">
      <items count="19">
        <item x="16"/>
        <item x="14"/>
        <item x="12"/>
        <item x="11"/>
        <item x="10"/>
        <item x="3"/>
        <item x="13"/>
        <item x="5"/>
        <item x="17"/>
        <item x="1"/>
        <item x="9"/>
        <item x="8"/>
        <item x="2"/>
        <item x="15"/>
        <item x="7"/>
        <item x="4"/>
        <item x="6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Quantity Sold" fld="5" baseField="4" baseItem="2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6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outline="1" outlineData="1" showDrill="1" multipleFieldFilters="0" chartFormat="5">
  <location ref="A2:B33" firstHeaderRow="1" firstDataRow="1" firstDataCol="1"/>
  <pivotFields count="15">
    <pivotField showAll="0"/>
    <pivotField showAll="0"/>
    <pivotField axis="axisRow" sortType="ascending" showAll="0">
      <items count="31">
        <item x="22"/>
        <item x="3"/>
        <item x="21"/>
        <item x="10"/>
        <item x="9"/>
        <item x="14"/>
        <item x="7"/>
        <item x="19"/>
        <item x="2"/>
        <item x="15"/>
        <item x="12"/>
        <item x="24"/>
        <item x="27"/>
        <item x="23"/>
        <item x="26"/>
        <item x="25"/>
        <item x="20"/>
        <item x="6"/>
        <item x="13"/>
        <item x="1"/>
        <item x="16"/>
        <item x="11"/>
        <item x="17"/>
        <item x="5"/>
        <item x="28"/>
        <item x="18"/>
        <item x="29"/>
        <item x="8"/>
        <item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82">
        <item x="10"/>
        <item x="24"/>
        <item x="14"/>
        <item x="11"/>
        <item x="6"/>
        <item x="1"/>
        <item x="30"/>
        <item x="9"/>
        <item x="33"/>
        <item x="5"/>
        <item x="29"/>
        <item x="69"/>
        <item x="63"/>
        <item x="15"/>
        <item x="64"/>
        <item x="4"/>
        <item x="40"/>
        <item x="51"/>
        <item x="56"/>
        <item x="77"/>
        <item x="76"/>
        <item x="71"/>
        <item x="72"/>
        <item x="78"/>
        <item x="48"/>
        <item x="73"/>
        <item x="22"/>
        <item x="80"/>
        <item x="3"/>
        <item x="8"/>
        <item x="12"/>
        <item x="62"/>
        <item x="13"/>
        <item x="41"/>
        <item x="68"/>
        <item x="46"/>
        <item x="59"/>
        <item x="32"/>
        <item x="35"/>
        <item x="7"/>
        <item x="67"/>
        <item x="42"/>
        <item x="55"/>
        <item x="52"/>
        <item x="34"/>
        <item x="57"/>
        <item x="74"/>
        <item x="37"/>
        <item x="54"/>
        <item x="50"/>
        <item x="16"/>
        <item x="21"/>
        <item x="70"/>
        <item x="2"/>
        <item x="43"/>
        <item x="38"/>
        <item x="28"/>
        <item x="39"/>
        <item x="44"/>
        <item x="17"/>
        <item x="61"/>
        <item x="60"/>
        <item x="18"/>
        <item x="26"/>
        <item x="45"/>
        <item x="25"/>
        <item x="75"/>
        <item x="58"/>
        <item x="20"/>
        <item x="79"/>
        <item x="31"/>
        <item x="49"/>
        <item x="65"/>
        <item x="36"/>
        <item x="47"/>
        <item x="66"/>
        <item x="19"/>
        <item x="23"/>
        <item x="27"/>
        <item x="53"/>
        <item x="0"/>
        <item t="default"/>
      </items>
    </pivotField>
    <pivotField showAll="0"/>
  </pivotFields>
  <rowFields count="1">
    <field x="2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um of Net Revenue" fld="13" baseField="2" baseItem="11" numFmtId="178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Date" tableColumnId="34"/>
      <queryTableField id="2" name="Transaction ID" tableColumnId="35"/>
      <queryTableField id="3" name="City" tableColumnId="36"/>
      <queryTableField id="4" name="Product Name" tableColumnId="37"/>
      <queryTableField id="5" name="Product Category" tableColumnId="38"/>
      <queryTableField id="6" name="Quantity Sold" tableColumnId="39"/>
      <queryTableField id="7" name="Unit Cost" tableColumnId="40"/>
      <queryTableField id="8" name="Total Cost" tableColumnId="41"/>
      <queryTableField id="9" name="Unit Price" tableColumnId="42"/>
      <queryTableField id="10" name="Profit" tableColumnId="43"/>
      <queryTableField id="11" name="Profit Margin" tableColumnId="44"/>
      <queryTableField id="12" name="Discount" tableColumnId="45"/>
      <queryTableField id="13" name="Discount Amount" tableColumnId="46"/>
      <queryTableField id="14" name="Net Revenue" tableColumnId="47"/>
      <queryTableField id="15" name="Gross Profit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ustom_Office_Templates" displayName="Custom_Office_Templates" ref="A1:O103" tableType="queryTable" totalsRowShown="0">
  <autoFilter xmlns:etc="http://www.wps.cn/officeDocument/2017/etCustomData" ref="A1:O103" etc:filterBottomFollowUsedRange="0"/>
  <tableColumns count="15">
    <tableColumn id="34" name="Date" uniqueName="34" queryTableFieldId="1" dataDxfId="0"/>
    <tableColumn id="35" name="Transaction ID" uniqueName="35" queryTableFieldId="2" dataDxfId="1"/>
    <tableColumn id="36" name="City" uniqueName="36" queryTableFieldId="3" dataDxfId="2"/>
    <tableColumn id="37" name="Product Name" uniqueName="37" queryTableFieldId="4" dataDxfId="3"/>
    <tableColumn id="38" name="Product Category" uniqueName="38" queryTableFieldId="5" dataDxfId="4"/>
    <tableColumn id="39" name="Quantity Sold" uniqueName="39" queryTableFieldId="6" dataDxfId="5"/>
    <tableColumn id="40" name="Unit Cost" uniqueName="40" queryTableFieldId="7" dataDxfId="6"/>
    <tableColumn id="41" name="Total Cost" uniqueName="41" queryTableFieldId="8" dataDxfId="7"/>
    <tableColumn id="42" name="Unit Price" uniqueName="42" queryTableFieldId="9" dataDxfId="8"/>
    <tableColumn id="43" name="Profit" uniqueName="43" queryTableFieldId="10" dataDxfId="9"/>
    <tableColumn id="44" name="Profit Margin" uniqueName="44" queryTableFieldId="11" dataDxfId="10"/>
    <tableColumn id="45" name="Discount" uniqueName="45" queryTableFieldId="12" dataDxfId="11"/>
    <tableColumn id="46" name="Discount Amount" uniqueName="46" queryTableFieldId="13" dataDxfId="12"/>
    <tableColumn id="47" name="Net Revenue" uniqueName="47" queryTableFieldId="14" dataDxfId="13"/>
    <tableColumn id="48" name="Gross Profit" uniqueName="48" queryTableFieldId="15" dataDxf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103"/>
  <sheetViews>
    <sheetView workbookViewId="0">
      <selection activeCell="E10" sqref="E10"/>
    </sheetView>
  </sheetViews>
  <sheetFormatPr defaultColWidth="9" defaultRowHeight="14.4"/>
  <cols>
    <col min="1" max="1" width="10.5555555555556" customWidth="1"/>
    <col min="2" max="2" width="15.3333333333333" customWidth="1"/>
    <col min="3" max="3" width="12.6666666666667" customWidth="1"/>
    <col min="4" max="4" width="28.2222222222222" customWidth="1"/>
    <col min="5" max="5" width="18" customWidth="1"/>
    <col min="6" max="6" width="14.6666666666667" customWidth="1"/>
    <col min="7" max="7" width="10.8888888888889" style="4" customWidth="1"/>
    <col min="8" max="8" width="11.5555555555556" style="4" customWidth="1"/>
    <col min="9" max="9" width="11.3333333333333" style="4" customWidth="1"/>
    <col min="10" max="10" width="9.33333333333333" customWidth="1"/>
    <col min="11" max="11" width="14.3333333333333" customWidth="1"/>
    <col min="12" max="12" width="10.5555555555556" customWidth="1"/>
    <col min="13" max="13" width="18" customWidth="1"/>
    <col min="14" max="14" width="14.5555555555556" customWidth="1"/>
    <col min="15" max="15" width="12.8888888888889" customWidth="1"/>
  </cols>
  <sheetData>
    <row r="1" spans="1:1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4" t="s">
        <v>6</v>
      </c>
      <c r="H1" s="4" t="s">
        <v>7</v>
      </c>
      <c r="I1" s="4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</row>
    <row r="2" spans="1:15">
      <c r="A2" s="10"/>
      <c r="B2" s="5"/>
      <c r="C2" s="5"/>
      <c r="D2" s="5"/>
      <c r="E2" s="5"/>
      <c r="F2" s="5"/>
      <c r="J2" s="5"/>
      <c r="K2" s="5"/>
      <c r="L2" s="11">
        <v>0.085</v>
      </c>
      <c r="M2" s="5"/>
      <c r="N2" s="5"/>
      <c r="O2" s="5"/>
    </row>
    <row r="3" spans="1:15">
      <c r="A3" s="10">
        <v>45809</v>
      </c>
      <c r="B3" s="5">
        <v>1001</v>
      </c>
      <c r="C3" s="5" t="s">
        <v>15</v>
      </c>
      <c r="D3" s="5" t="s">
        <v>16</v>
      </c>
      <c r="E3" s="5" t="s">
        <v>17</v>
      </c>
      <c r="F3" s="5">
        <v>2</v>
      </c>
      <c r="G3" s="4">
        <v>7500</v>
      </c>
      <c r="H3" s="4">
        <f>G3*F3</f>
        <v>15000</v>
      </c>
      <c r="I3" s="4">
        <v>9000</v>
      </c>
      <c r="J3" s="4">
        <f>I3-G3</f>
        <v>1500</v>
      </c>
      <c r="K3" s="11">
        <f>J3/I3</f>
        <v>0.166666666666667</v>
      </c>
      <c r="L3" s="5"/>
      <c r="M3" s="4">
        <f>(I3*F3)*$L$2</f>
        <v>1530</v>
      </c>
      <c r="N3" s="4">
        <f>(I3*F3)-M3</f>
        <v>16470</v>
      </c>
      <c r="O3" s="4">
        <f>N3-H3</f>
        <v>1470</v>
      </c>
    </row>
    <row r="4" spans="1:15">
      <c r="A4" s="10">
        <v>45810</v>
      </c>
      <c r="B4" s="5">
        <v>1002</v>
      </c>
      <c r="C4" s="5" t="s">
        <v>18</v>
      </c>
      <c r="D4" s="5" t="s">
        <v>19</v>
      </c>
      <c r="E4" s="5" t="s">
        <v>20</v>
      </c>
      <c r="F4" s="5">
        <v>3</v>
      </c>
      <c r="G4" s="4">
        <v>15000</v>
      </c>
      <c r="H4" s="4">
        <f t="shared" ref="H4:H67" si="0">G4*F4</f>
        <v>45000</v>
      </c>
      <c r="I4" s="4">
        <v>18000</v>
      </c>
      <c r="J4" s="4">
        <f t="shared" ref="J4:J67" si="1">I4-G4</f>
        <v>3000</v>
      </c>
      <c r="K4" s="11">
        <f t="shared" ref="K4:K67" si="2">J4/I4</f>
        <v>0.166666666666667</v>
      </c>
      <c r="L4" s="5"/>
      <c r="M4" s="4">
        <f t="shared" ref="M4:M67" si="3">(I4*F4)*$L$2</f>
        <v>4590</v>
      </c>
      <c r="N4" s="4">
        <f t="shared" ref="N4:N67" si="4">(I4*F4)-M4</f>
        <v>49410</v>
      </c>
      <c r="O4" s="4">
        <f t="shared" ref="O4:O67" si="5">N4-H4</f>
        <v>4410</v>
      </c>
    </row>
    <row r="5" spans="1:15">
      <c r="A5" s="10">
        <v>45811</v>
      </c>
      <c r="B5" s="5">
        <v>1003</v>
      </c>
      <c r="C5" s="5" t="s">
        <v>21</v>
      </c>
      <c r="D5" s="5" t="s">
        <v>22</v>
      </c>
      <c r="E5" s="5" t="s">
        <v>23</v>
      </c>
      <c r="F5" s="5">
        <v>3</v>
      </c>
      <c r="G5" s="4">
        <v>10000</v>
      </c>
      <c r="H5" s="4">
        <f t="shared" si="0"/>
        <v>30000</v>
      </c>
      <c r="I5" s="4">
        <v>12500</v>
      </c>
      <c r="J5" s="4">
        <f t="shared" si="1"/>
        <v>2500</v>
      </c>
      <c r="K5" s="11">
        <f t="shared" si="2"/>
        <v>0.2</v>
      </c>
      <c r="L5" s="5"/>
      <c r="M5" s="4">
        <f t="shared" si="3"/>
        <v>3187.5</v>
      </c>
      <c r="N5" s="4">
        <f t="shared" si="4"/>
        <v>34312.5</v>
      </c>
      <c r="O5" s="4">
        <f t="shared" si="5"/>
        <v>4312.5</v>
      </c>
    </row>
    <row r="6" spans="1:15">
      <c r="A6" s="10">
        <v>45812</v>
      </c>
      <c r="B6" s="5">
        <v>1004</v>
      </c>
      <c r="C6" s="5" t="s">
        <v>24</v>
      </c>
      <c r="D6" s="5" t="s">
        <v>25</v>
      </c>
      <c r="E6" s="5" t="s">
        <v>17</v>
      </c>
      <c r="F6" s="5">
        <v>2</v>
      </c>
      <c r="G6" s="4">
        <v>13000</v>
      </c>
      <c r="H6" s="4">
        <f t="shared" si="0"/>
        <v>26000</v>
      </c>
      <c r="I6" s="4">
        <v>15000</v>
      </c>
      <c r="J6" s="4">
        <f t="shared" si="1"/>
        <v>2000</v>
      </c>
      <c r="K6" s="11">
        <f t="shared" si="2"/>
        <v>0.133333333333333</v>
      </c>
      <c r="L6" s="5"/>
      <c r="M6" s="4">
        <f t="shared" si="3"/>
        <v>2550</v>
      </c>
      <c r="N6" s="4">
        <f t="shared" si="4"/>
        <v>27450</v>
      </c>
      <c r="O6" s="4">
        <f t="shared" si="5"/>
        <v>1450</v>
      </c>
    </row>
    <row r="7" spans="1:15">
      <c r="A7" s="10">
        <v>45813</v>
      </c>
      <c r="B7" s="5">
        <v>1005</v>
      </c>
      <c r="C7" s="5" t="s">
        <v>26</v>
      </c>
      <c r="D7" s="5" t="s">
        <v>27</v>
      </c>
      <c r="E7" s="5" t="s">
        <v>20</v>
      </c>
      <c r="F7" s="5">
        <v>1</v>
      </c>
      <c r="G7" s="4">
        <v>19000</v>
      </c>
      <c r="H7" s="4">
        <f t="shared" si="0"/>
        <v>19000</v>
      </c>
      <c r="I7" s="4">
        <v>23000</v>
      </c>
      <c r="J7" s="4">
        <f t="shared" si="1"/>
        <v>4000</v>
      </c>
      <c r="K7" s="11">
        <f t="shared" si="2"/>
        <v>0.173913043478261</v>
      </c>
      <c r="L7" s="5"/>
      <c r="M7" s="4">
        <f t="shared" si="3"/>
        <v>1955</v>
      </c>
      <c r="N7" s="4">
        <f t="shared" si="4"/>
        <v>21045</v>
      </c>
      <c r="O7" s="4">
        <f t="shared" si="5"/>
        <v>2045</v>
      </c>
    </row>
    <row r="8" spans="1:15">
      <c r="A8" s="10">
        <v>45814</v>
      </c>
      <c r="B8" s="5">
        <v>1006</v>
      </c>
      <c r="C8" s="5" t="s">
        <v>28</v>
      </c>
      <c r="D8" s="5" t="s">
        <v>29</v>
      </c>
      <c r="E8" s="5" t="s">
        <v>30</v>
      </c>
      <c r="F8" s="5">
        <v>1</v>
      </c>
      <c r="G8" s="4">
        <v>15000</v>
      </c>
      <c r="H8" s="4">
        <f t="shared" si="0"/>
        <v>15000</v>
      </c>
      <c r="I8" s="4">
        <v>17500</v>
      </c>
      <c r="J8" s="4">
        <f t="shared" si="1"/>
        <v>2500</v>
      </c>
      <c r="K8" s="11">
        <f t="shared" si="2"/>
        <v>0.142857142857143</v>
      </c>
      <c r="L8" s="5"/>
      <c r="M8" s="4">
        <f t="shared" si="3"/>
        <v>1487.5</v>
      </c>
      <c r="N8" s="4">
        <f t="shared" si="4"/>
        <v>16012.5</v>
      </c>
      <c r="O8" s="4">
        <f t="shared" si="5"/>
        <v>1012.5</v>
      </c>
    </row>
    <row r="9" spans="1:15">
      <c r="A9" s="10">
        <v>45815</v>
      </c>
      <c r="B9" s="5">
        <v>1007</v>
      </c>
      <c r="C9" s="5" t="s">
        <v>31</v>
      </c>
      <c r="D9" s="5" t="s">
        <v>32</v>
      </c>
      <c r="E9" s="5" t="s">
        <v>33</v>
      </c>
      <c r="F9" s="5">
        <v>3</v>
      </c>
      <c r="G9" s="4">
        <v>12000</v>
      </c>
      <c r="H9" s="4">
        <f t="shared" si="0"/>
        <v>36000</v>
      </c>
      <c r="I9" s="4">
        <v>15000</v>
      </c>
      <c r="J9" s="4">
        <f t="shared" si="1"/>
        <v>3000</v>
      </c>
      <c r="K9" s="11">
        <f t="shared" si="2"/>
        <v>0.2</v>
      </c>
      <c r="L9" s="5"/>
      <c r="M9" s="4">
        <f t="shared" si="3"/>
        <v>3825</v>
      </c>
      <c r="N9" s="4">
        <f t="shared" si="4"/>
        <v>41175</v>
      </c>
      <c r="O9" s="4">
        <f t="shared" si="5"/>
        <v>5175</v>
      </c>
    </row>
    <row r="10" spans="1:15">
      <c r="A10" s="10">
        <v>45816</v>
      </c>
      <c r="B10" s="5">
        <v>1008</v>
      </c>
      <c r="C10" s="5" t="s">
        <v>34</v>
      </c>
      <c r="D10" s="5" t="s">
        <v>35</v>
      </c>
      <c r="E10" s="5" t="s">
        <v>36</v>
      </c>
      <c r="F10" s="5">
        <v>2</v>
      </c>
      <c r="G10" s="4">
        <v>16000</v>
      </c>
      <c r="H10" s="4">
        <f t="shared" si="0"/>
        <v>32000</v>
      </c>
      <c r="I10" s="4">
        <v>19000</v>
      </c>
      <c r="J10" s="4">
        <f t="shared" si="1"/>
        <v>3000</v>
      </c>
      <c r="K10" s="11">
        <f t="shared" si="2"/>
        <v>0.157894736842105</v>
      </c>
      <c r="L10" s="5"/>
      <c r="M10" s="4">
        <f t="shared" si="3"/>
        <v>3230</v>
      </c>
      <c r="N10" s="4">
        <f t="shared" si="4"/>
        <v>34770</v>
      </c>
      <c r="O10" s="4">
        <f t="shared" si="5"/>
        <v>2770</v>
      </c>
    </row>
    <row r="11" spans="1:15">
      <c r="A11" s="10">
        <v>45817</v>
      </c>
      <c r="B11" s="5">
        <v>1009</v>
      </c>
      <c r="C11" s="5" t="s">
        <v>37</v>
      </c>
      <c r="D11" s="5" t="s">
        <v>38</v>
      </c>
      <c r="E11" s="5" t="s">
        <v>39</v>
      </c>
      <c r="F11" s="5">
        <v>2</v>
      </c>
      <c r="G11" s="4">
        <v>8000</v>
      </c>
      <c r="H11" s="4">
        <f t="shared" si="0"/>
        <v>16000</v>
      </c>
      <c r="I11" s="4">
        <v>10000</v>
      </c>
      <c r="J11" s="4">
        <f t="shared" si="1"/>
        <v>2000</v>
      </c>
      <c r="K11" s="11">
        <f t="shared" si="2"/>
        <v>0.2</v>
      </c>
      <c r="L11" s="5"/>
      <c r="M11" s="4">
        <f t="shared" si="3"/>
        <v>1700</v>
      </c>
      <c r="N11" s="4">
        <f t="shared" si="4"/>
        <v>18300</v>
      </c>
      <c r="O11" s="4">
        <f t="shared" si="5"/>
        <v>2300</v>
      </c>
    </row>
    <row r="12" spans="1:15">
      <c r="A12" s="10">
        <v>45818</v>
      </c>
      <c r="B12" s="5">
        <v>1010</v>
      </c>
      <c r="C12" s="5" t="s">
        <v>40</v>
      </c>
      <c r="D12" s="5" t="s">
        <v>41</v>
      </c>
      <c r="E12" s="5" t="s">
        <v>42</v>
      </c>
      <c r="F12" s="5">
        <v>4</v>
      </c>
      <c r="G12" s="4">
        <v>950</v>
      </c>
      <c r="H12" s="4">
        <f t="shared" si="0"/>
        <v>3800</v>
      </c>
      <c r="I12" s="4">
        <v>1200</v>
      </c>
      <c r="J12" s="4">
        <f t="shared" si="1"/>
        <v>250</v>
      </c>
      <c r="K12" s="11">
        <f t="shared" si="2"/>
        <v>0.208333333333333</v>
      </c>
      <c r="L12" s="5"/>
      <c r="M12" s="4">
        <f t="shared" si="3"/>
        <v>408</v>
      </c>
      <c r="N12" s="4">
        <f t="shared" si="4"/>
        <v>4392</v>
      </c>
      <c r="O12" s="4">
        <f t="shared" si="5"/>
        <v>592</v>
      </c>
    </row>
    <row r="13" spans="1:15">
      <c r="A13" s="10">
        <v>45819</v>
      </c>
      <c r="B13" s="5">
        <v>1011</v>
      </c>
      <c r="C13" s="5" t="s">
        <v>43</v>
      </c>
      <c r="D13" s="5" t="s">
        <v>44</v>
      </c>
      <c r="E13" s="5" t="s">
        <v>45</v>
      </c>
      <c r="F13" s="5">
        <v>2</v>
      </c>
      <c r="G13" s="4">
        <v>6000</v>
      </c>
      <c r="H13" s="4">
        <f t="shared" si="0"/>
        <v>12000</v>
      </c>
      <c r="I13" s="4">
        <v>8500</v>
      </c>
      <c r="J13" s="4">
        <f t="shared" si="1"/>
        <v>2500</v>
      </c>
      <c r="K13" s="11">
        <f t="shared" si="2"/>
        <v>0.294117647058824</v>
      </c>
      <c r="L13" s="5"/>
      <c r="M13" s="4">
        <f t="shared" si="3"/>
        <v>1445</v>
      </c>
      <c r="N13" s="4">
        <f t="shared" si="4"/>
        <v>15555</v>
      </c>
      <c r="O13" s="4">
        <f t="shared" si="5"/>
        <v>3555</v>
      </c>
    </row>
    <row r="14" spans="1:15">
      <c r="A14" s="10">
        <v>45820</v>
      </c>
      <c r="B14" s="5">
        <v>1012</v>
      </c>
      <c r="C14" s="5" t="s">
        <v>46</v>
      </c>
      <c r="D14" s="5" t="s">
        <v>47</v>
      </c>
      <c r="E14" s="5" t="s">
        <v>48</v>
      </c>
      <c r="F14" s="5">
        <v>3</v>
      </c>
      <c r="G14" s="4">
        <v>10500</v>
      </c>
      <c r="H14" s="4">
        <f t="shared" si="0"/>
        <v>31500</v>
      </c>
      <c r="I14" s="4">
        <v>13000</v>
      </c>
      <c r="J14" s="4">
        <f t="shared" si="1"/>
        <v>2500</v>
      </c>
      <c r="K14" s="11">
        <f t="shared" si="2"/>
        <v>0.192307692307692</v>
      </c>
      <c r="L14" s="5"/>
      <c r="M14" s="4">
        <f t="shared" si="3"/>
        <v>3315</v>
      </c>
      <c r="N14" s="4">
        <f t="shared" si="4"/>
        <v>35685</v>
      </c>
      <c r="O14" s="4">
        <f t="shared" si="5"/>
        <v>4185</v>
      </c>
    </row>
    <row r="15" spans="1:15">
      <c r="A15" s="10">
        <v>45821</v>
      </c>
      <c r="B15" s="5">
        <v>1013</v>
      </c>
      <c r="C15" s="5" t="s">
        <v>49</v>
      </c>
      <c r="D15" s="5" t="s">
        <v>50</v>
      </c>
      <c r="E15" s="5" t="s">
        <v>45</v>
      </c>
      <c r="F15" s="5">
        <v>2</v>
      </c>
      <c r="G15" s="4">
        <v>12000</v>
      </c>
      <c r="H15" s="4">
        <f t="shared" si="0"/>
        <v>24000</v>
      </c>
      <c r="I15" s="4">
        <v>15000</v>
      </c>
      <c r="J15" s="4">
        <f t="shared" si="1"/>
        <v>3000</v>
      </c>
      <c r="K15" s="11">
        <f t="shared" si="2"/>
        <v>0.2</v>
      </c>
      <c r="L15" s="5"/>
      <c r="M15" s="4">
        <f t="shared" si="3"/>
        <v>2550</v>
      </c>
      <c r="N15" s="4">
        <f t="shared" si="4"/>
        <v>27450</v>
      </c>
      <c r="O15" s="4">
        <f t="shared" si="5"/>
        <v>3450</v>
      </c>
    </row>
    <row r="16" spans="1:15">
      <c r="A16" s="10">
        <v>45822</v>
      </c>
      <c r="B16" s="5">
        <v>1014</v>
      </c>
      <c r="C16" s="5" t="s">
        <v>51</v>
      </c>
      <c r="D16" s="5" t="s">
        <v>52</v>
      </c>
      <c r="E16" s="5" t="s">
        <v>39</v>
      </c>
      <c r="F16" s="5">
        <v>4</v>
      </c>
      <c r="G16" s="4">
        <v>7000</v>
      </c>
      <c r="H16" s="4">
        <f t="shared" si="0"/>
        <v>28000</v>
      </c>
      <c r="I16" s="4">
        <v>10000</v>
      </c>
      <c r="J16" s="4">
        <f t="shared" si="1"/>
        <v>3000</v>
      </c>
      <c r="K16" s="11">
        <f t="shared" si="2"/>
        <v>0.3</v>
      </c>
      <c r="L16" s="5"/>
      <c r="M16" s="4">
        <f t="shared" si="3"/>
        <v>3400</v>
      </c>
      <c r="N16" s="4">
        <f t="shared" si="4"/>
        <v>36600</v>
      </c>
      <c r="O16" s="4">
        <f t="shared" si="5"/>
        <v>8600</v>
      </c>
    </row>
    <row r="17" spans="1:15">
      <c r="A17" s="10">
        <v>45823</v>
      </c>
      <c r="B17" s="5">
        <v>1015</v>
      </c>
      <c r="C17" s="5" t="s">
        <v>53</v>
      </c>
      <c r="D17" s="5" t="s">
        <v>54</v>
      </c>
      <c r="E17" s="5" t="s">
        <v>20</v>
      </c>
      <c r="F17" s="5">
        <v>2</v>
      </c>
      <c r="G17" s="4">
        <v>16500</v>
      </c>
      <c r="H17" s="4">
        <f t="shared" si="0"/>
        <v>33000</v>
      </c>
      <c r="I17" s="4">
        <v>20000</v>
      </c>
      <c r="J17" s="4">
        <f t="shared" si="1"/>
        <v>3500</v>
      </c>
      <c r="K17" s="11">
        <f t="shared" si="2"/>
        <v>0.175</v>
      </c>
      <c r="L17" s="5"/>
      <c r="M17" s="4">
        <f t="shared" si="3"/>
        <v>3400</v>
      </c>
      <c r="N17" s="4">
        <f t="shared" si="4"/>
        <v>36600</v>
      </c>
      <c r="O17" s="4">
        <f t="shared" si="5"/>
        <v>3600</v>
      </c>
    </row>
    <row r="18" spans="1:15">
      <c r="A18" s="10">
        <v>45824</v>
      </c>
      <c r="B18" s="5">
        <v>1016</v>
      </c>
      <c r="C18" s="5" t="s">
        <v>15</v>
      </c>
      <c r="D18" s="5" t="s">
        <v>55</v>
      </c>
      <c r="E18" s="5" t="s">
        <v>20</v>
      </c>
      <c r="F18" s="5">
        <v>1</v>
      </c>
      <c r="G18" s="4">
        <v>11600</v>
      </c>
      <c r="H18" s="4">
        <f t="shared" si="0"/>
        <v>11600</v>
      </c>
      <c r="I18" s="4">
        <v>14000</v>
      </c>
      <c r="J18" s="4">
        <f t="shared" si="1"/>
        <v>2400</v>
      </c>
      <c r="K18" s="11">
        <f t="shared" si="2"/>
        <v>0.171428571428571</v>
      </c>
      <c r="L18" s="5"/>
      <c r="M18" s="4">
        <f t="shared" si="3"/>
        <v>1190</v>
      </c>
      <c r="N18" s="4">
        <f t="shared" si="4"/>
        <v>12810</v>
      </c>
      <c r="O18" s="4">
        <f t="shared" si="5"/>
        <v>1210</v>
      </c>
    </row>
    <row r="19" spans="1:15">
      <c r="A19" s="10">
        <v>45825</v>
      </c>
      <c r="B19" s="5">
        <v>1017</v>
      </c>
      <c r="C19" s="5" t="s">
        <v>56</v>
      </c>
      <c r="D19" s="5" t="s">
        <v>57</v>
      </c>
      <c r="E19" s="5" t="s">
        <v>58</v>
      </c>
      <c r="F19" s="5">
        <v>2</v>
      </c>
      <c r="G19" s="4">
        <v>11500</v>
      </c>
      <c r="H19" s="4">
        <f t="shared" si="0"/>
        <v>23000</v>
      </c>
      <c r="I19" s="4">
        <v>13000</v>
      </c>
      <c r="J19" s="4">
        <f t="shared" si="1"/>
        <v>1500</v>
      </c>
      <c r="K19" s="11">
        <f t="shared" si="2"/>
        <v>0.115384615384615</v>
      </c>
      <c r="L19" s="5"/>
      <c r="M19" s="4">
        <f t="shared" si="3"/>
        <v>2210</v>
      </c>
      <c r="N19" s="4">
        <f t="shared" si="4"/>
        <v>23790</v>
      </c>
      <c r="O19" s="4">
        <f t="shared" si="5"/>
        <v>790</v>
      </c>
    </row>
    <row r="20" spans="1:15">
      <c r="A20" s="10">
        <v>45826</v>
      </c>
      <c r="B20" s="5">
        <v>1018</v>
      </c>
      <c r="C20" s="5" t="s">
        <v>24</v>
      </c>
      <c r="D20" s="5" t="s">
        <v>59</v>
      </c>
      <c r="E20" s="5" t="s">
        <v>58</v>
      </c>
      <c r="F20" s="5">
        <v>3</v>
      </c>
      <c r="G20" s="4">
        <v>14300</v>
      </c>
      <c r="H20" s="4">
        <f t="shared" si="0"/>
        <v>42900</v>
      </c>
      <c r="I20" s="4">
        <v>17000</v>
      </c>
      <c r="J20" s="4">
        <f t="shared" si="1"/>
        <v>2700</v>
      </c>
      <c r="K20" s="11">
        <f t="shared" si="2"/>
        <v>0.158823529411765</v>
      </c>
      <c r="L20" s="5"/>
      <c r="M20" s="4">
        <f t="shared" si="3"/>
        <v>4335</v>
      </c>
      <c r="N20" s="4">
        <f t="shared" si="4"/>
        <v>46665</v>
      </c>
      <c r="O20" s="4">
        <f t="shared" si="5"/>
        <v>3765</v>
      </c>
    </row>
    <row r="21" spans="1:15">
      <c r="A21" s="10">
        <v>45827</v>
      </c>
      <c r="B21" s="5">
        <v>1019</v>
      </c>
      <c r="C21" s="5" t="s">
        <v>21</v>
      </c>
      <c r="D21" s="5" t="s">
        <v>60</v>
      </c>
      <c r="E21" s="5" t="s">
        <v>48</v>
      </c>
      <c r="F21" s="5">
        <v>4</v>
      </c>
      <c r="G21" s="4">
        <v>13000</v>
      </c>
      <c r="H21" s="4">
        <f t="shared" si="0"/>
        <v>52000</v>
      </c>
      <c r="I21" s="4">
        <v>15000</v>
      </c>
      <c r="J21" s="4">
        <f t="shared" si="1"/>
        <v>2000</v>
      </c>
      <c r="K21" s="11">
        <f t="shared" si="2"/>
        <v>0.133333333333333</v>
      </c>
      <c r="L21" s="5"/>
      <c r="M21" s="4">
        <f t="shared" si="3"/>
        <v>5100</v>
      </c>
      <c r="N21" s="4">
        <f t="shared" si="4"/>
        <v>54900</v>
      </c>
      <c r="O21" s="4">
        <f t="shared" si="5"/>
        <v>2900</v>
      </c>
    </row>
    <row r="22" spans="1:15">
      <c r="A22" s="10">
        <v>45828</v>
      </c>
      <c r="B22" s="5">
        <v>1020</v>
      </c>
      <c r="C22" s="5" t="s">
        <v>37</v>
      </c>
      <c r="D22" s="5" t="s">
        <v>61</v>
      </c>
      <c r="E22" s="5" t="s">
        <v>17</v>
      </c>
      <c r="F22" s="5">
        <v>4</v>
      </c>
      <c r="G22" s="4">
        <v>14000</v>
      </c>
      <c r="H22" s="4">
        <f t="shared" si="0"/>
        <v>56000</v>
      </c>
      <c r="I22" s="4">
        <v>17000</v>
      </c>
      <c r="J22" s="4">
        <f t="shared" si="1"/>
        <v>3000</v>
      </c>
      <c r="K22" s="11">
        <f t="shared" si="2"/>
        <v>0.176470588235294</v>
      </c>
      <c r="L22" s="5"/>
      <c r="M22" s="4">
        <f t="shared" si="3"/>
        <v>5780</v>
      </c>
      <c r="N22" s="4">
        <f t="shared" si="4"/>
        <v>62220</v>
      </c>
      <c r="O22" s="4">
        <f t="shared" si="5"/>
        <v>6220</v>
      </c>
    </row>
    <row r="23" spans="1:15">
      <c r="A23" s="10">
        <v>45829</v>
      </c>
      <c r="B23" s="5">
        <v>1021</v>
      </c>
      <c r="C23" s="5" t="s">
        <v>46</v>
      </c>
      <c r="D23" s="5" t="s">
        <v>62</v>
      </c>
      <c r="E23" s="5" t="s">
        <v>45</v>
      </c>
      <c r="F23" s="5">
        <v>2</v>
      </c>
      <c r="G23" s="4">
        <v>17000</v>
      </c>
      <c r="H23" s="4">
        <f t="shared" si="0"/>
        <v>34000</v>
      </c>
      <c r="I23" s="4">
        <v>20000</v>
      </c>
      <c r="J23" s="4">
        <f t="shared" si="1"/>
        <v>3000</v>
      </c>
      <c r="K23" s="11">
        <f t="shared" si="2"/>
        <v>0.15</v>
      </c>
      <c r="L23" s="5"/>
      <c r="M23" s="4">
        <f t="shared" si="3"/>
        <v>3400</v>
      </c>
      <c r="N23" s="4">
        <f t="shared" si="4"/>
        <v>36600</v>
      </c>
      <c r="O23" s="4">
        <f t="shared" si="5"/>
        <v>2600</v>
      </c>
    </row>
    <row r="24" spans="1:15">
      <c r="A24" s="10">
        <v>45830</v>
      </c>
      <c r="B24" s="5">
        <v>1022</v>
      </c>
      <c r="C24" s="5" t="s">
        <v>26</v>
      </c>
      <c r="D24" s="5" t="s">
        <v>63</v>
      </c>
      <c r="E24" s="5" t="s">
        <v>30</v>
      </c>
      <c r="F24" s="5">
        <v>5</v>
      </c>
      <c r="G24" s="4">
        <v>19500</v>
      </c>
      <c r="H24" s="4">
        <f t="shared" si="0"/>
        <v>97500</v>
      </c>
      <c r="I24" s="4">
        <v>23000</v>
      </c>
      <c r="J24" s="4">
        <f t="shared" si="1"/>
        <v>3500</v>
      </c>
      <c r="K24" s="11">
        <f t="shared" si="2"/>
        <v>0.152173913043478</v>
      </c>
      <c r="L24" s="5"/>
      <c r="M24" s="4">
        <f t="shared" si="3"/>
        <v>9775</v>
      </c>
      <c r="N24" s="4">
        <f t="shared" si="4"/>
        <v>105225</v>
      </c>
      <c r="O24" s="4">
        <f t="shared" si="5"/>
        <v>7725</v>
      </c>
    </row>
    <row r="25" spans="1:15">
      <c r="A25" s="10">
        <v>45831</v>
      </c>
      <c r="B25" s="5">
        <v>1023</v>
      </c>
      <c r="C25" s="5" t="s">
        <v>43</v>
      </c>
      <c r="D25" s="5" t="s">
        <v>64</v>
      </c>
      <c r="E25" s="5" t="s">
        <v>45</v>
      </c>
      <c r="F25" s="5">
        <v>2</v>
      </c>
      <c r="G25" s="4">
        <v>7000</v>
      </c>
      <c r="H25" s="4">
        <f t="shared" si="0"/>
        <v>14000</v>
      </c>
      <c r="I25" s="4">
        <v>10000</v>
      </c>
      <c r="J25" s="4">
        <f t="shared" si="1"/>
        <v>3000</v>
      </c>
      <c r="K25" s="11">
        <f t="shared" si="2"/>
        <v>0.3</v>
      </c>
      <c r="L25" s="5"/>
      <c r="M25" s="4">
        <f t="shared" si="3"/>
        <v>1700</v>
      </c>
      <c r="N25" s="4">
        <f t="shared" si="4"/>
        <v>18300</v>
      </c>
      <c r="O25" s="4">
        <f t="shared" si="5"/>
        <v>4300</v>
      </c>
    </row>
    <row r="26" spans="1:15">
      <c r="A26" s="10">
        <v>45832</v>
      </c>
      <c r="B26" s="5">
        <v>1024</v>
      </c>
      <c r="C26" s="5" t="s">
        <v>53</v>
      </c>
      <c r="D26" s="5" t="s">
        <v>65</v>
      </c>
      <c r="E26" s="5" t="s">
        <v>45</v>
      </c>
      <c r="F26" s="5">
        <v>3</v>
      </c>
      <c r="G26" s="4">
        <v>26000</v>
      </c>
      <c r="H26" s="4">
        <f t="shared" si="0"/>
        <v>78000</v>
      </c>
      <c r="I26" s="4">
        <v>27000</v>
      </c>
      <c r="J26" s="4">
        <f t="shared" si="1"/>
        <v>1000</v>
      </c>
      <c r="K26" s="11">
        <f t="shared" si="2"/>
        <v>0.037037037037037</v>
      </c>
      <c r="L26" s="5"/>
      <c r="M26" s="4">
        <f t="shared" si="3"/>
        <v>6885</v>
      </c>
      <c r="N26" s="4">
        <f t="shared" si="4"/>
        <v>74115</v>
      </c>
      <c r="O26" s="4">
        <f t="shared" si="5"/>
        <v>-3885</v>
      </c>
    </row>
    <row r="27" spans="1:15">
      <c r="A27" s="10">
        <v>45833</v>
      </c>
      <c r="B27" s="5">
        <v>1025</v>
      </c>
      <c r="C27" s="5" t="s">
        <v>43</v>
      </c>
      <c r="D27" s="5" t="s">
        <v>66</v>
      </c>
      <c r="E27" s="5" t="s">
        <v>45</v>
      </c>
      <c r="F27" s="5">
        <v>4</v>
      </c>
      <c r="G27" s="4">
        <v>10000</v>
      </c>
      <c r="H27" s="4">
        <f t="shared" si="0"/>
        <v>40000</v>
      </c>
      <c r="I27" s="4">
        <v>13000</v>
      </c>
      <c r="J27" s="4">
        <f t="shared" si="1"/>
        <v>3000</v>
      </c>
      <c r="K27" s="11">
        <f t="shared" si="2"/>
        <v>0.230769230769231</v>
      </c>
      <c r="L27" s="5"/>
      <c r="M27" s="4">
        <f t="shared" si="3"/>
        <v>4420</v>
      </c>
      <c r="N27" s="4">
        <f t="shared" si="4"/>
        <v>47580</v>
      </c>
      <c r="O27" s="4">
        <f t="shared" si="5"/>
        <v>7580</v>
      </c>
    </row>
    <row r="28" spans="1:15">
      <c r="A28" s="10">
        <v>45834</v>
      </c>
      <c r="B28" s="5">
        <v>1026</v>
      </c>
      <c r="C28" s="5" t="s">
        <v>67</v>
      </c>
      <c r="D28" s="5" t="s">
        <v>68</v>
      </c>
      <c r="E28" s="5" t="s">
        <v>69</v>
      </c>
      <c r="F28" s="5">
        <v>2</v>
      </c>
      <c r="G28" s="4">
        <v>15500</v>
      </c>
      <c r="H28" s="4">
        <f t="shared" si="0"/>
        <v>31000</v>
      </c>
      <c r="I28" s="4">
        <v>18000</v>
      </c>
      <c r="J28" s="4">
        <f t="shared" si="1"/>
        <v>2500</v>
      </c>
      <c r="K28" s="11">
        <f t="shared" si="2"/>
        <v>0.138888888888889</v>
      </c>
      <c r="L28" s="5"/>
      <c r="M28" s="4">
        <f t="shared" si="3"/>
        <v>3060</v>
      </c>
      <c r="N28" s="4">
        <f t="shared" si="4"/>
        <v>32940</v>
      </c>
      <c r="O28" s="4">
        <f t="shared" si="5"/>
        <v>1940</v>
      </c>
    </row>
    <row r="29" spans="1:15">
      <c r="A29" s="10">
        <v>45835</v>
      </c>
      <c r="B29" s="5">
        <v>1027</v>
      </c>
      <c r="C29" s="5" t="s">
        <v>70</v>
      </c>
      <c r="D29" s="5" t="s">
        <v>71</v>
      </c>
      <c r="E29" s="5" t="s">
        <v>45</v>
      </c>
      <c r="F29" s="5">
        <v>3</v>
      </c>
      <c r="G29" s="4">
        <v>17500</v>
      </c>
      <c r="H29" s="4">
        <f t="shared" si="0"/>
        <v>52500</v>
      </c>
      <c r="I29" s="4">
        <v>20000</v>
      </c>
      <c r="J29" s="4">
        <f t="shared" si="1"/>
        <v>2500</v>
      </c>
      <c r="K29" s="11">
        <f t="shared" si="2"/>
        <v>0.125</v>
      </c>
      <c r="L29" s="5"/>
      <c r="M29" s="4">
        <f t="shared" si="3"/>
        <v>5100</v>
      </c>
      <c r="N29" s="4">
        <f t="shared" si="4"/>
        <v>54900</v>
      </c>
      <c r="O29" s="4">
        <f t="shared" si="5"/>
        <v>2400</v>
      </c>
    </row>
    <row r="30" spans="1:15">
      <c r="A30" s="10">
        <v>45836</v>
      </c>
      <c r="B30" s="5">
        <v>1028</v>
      </c>
      <c r="C30" s="5" t="s">
        <v>72</v>
      </c>
      <c r="D30" s="5" t="s">
        <v>73</v>
      </c>
      <c r="E30" s="5" t="s">
        <v>30</v>
      </c>
      <c r="F30" s="5">
        <v>5</v>
      </c>
      <c r="G30" s="4">
        <v>23000</v>
      </c>
      <c r="H30" s="4">
        <f t="shared" si="0"/>
        <v>115000</v>
      </c>
      <c r="I30" s="4">
        <v>25000</v>
      </c>
      <c r="J30" s="4">
        <f t="shared" si="1"/>
        <v>2000</v>
      </c>
      <c r="K30" s="11">
        <f t="shared" si="2"/>
        <v>0.08</v>
      </c>
      <c r="L30" s="5"/>
      <c r="M30" s="4">
        <f t="shared" si="3"/>
        <v>10625</v>
      </c>
      <c r="N30" s="4">
        <f t="shared" si="4"/>
        <v>114375</v>
      </c>
      <c r="O30" s="4">
        <f t="shared" si="5"/>
        <v>-625</v>
      </c>
    </row>
    <row r="31" spans="1:15">
      <c r="A31" s="10">
        <v>45837</v>
      </c>
      <c r="B31" s="5">
        <v>1029</v>
      </c>
      <c r="C31" s="5" t="s">
        <v>43</v>
      </c>
      <c r="D31" s="5" t="s">
        <v>74</v>
      </c>
      <c r="E31" s="5" t="s">
        <v>75</v>
      </c>
      <c r="F31" s="5">
        <v>3</v>
      </c>
      <c r="G31" s="4">
        <v>9500</v>
      </c>
      <c r="H31" s="4">
        <f t="shared" si="0"/>
        <v>28500</v>
      </c>
      <c r="I31" s="4">
        <v>12000</v>
      </c>
      <c r="J31" s="4">
        <f t="shared" si="1"/>
        <v>2500</v>
      </c>
      <c r="K31" s="11">
        <f t="shared" si="2"/>
        <v>0.208333333333333</v>
      </c>
      <c r="L31" s="5"/>
      <c r="M31" s="4">
        <f t="shared" si="3"/>
        <v>3060</v>
      </c>
      <c r="N31" s="4">
        <f t="shared" si="4"/>
        <v>32940</v>
      </c>
      <c r="O31" s="4">
        <f t="shared" si="5"/>
        <v>4440</v>
      </c>
    </row>
    <row r="32" spans="1:15">
      <c r="A32" s="10">
        <v>45838</v>
      </c>
      <c r="B32" s="5">
        <v>1030</v>
      </c>
      <c r="C32" s="5" t="s">
        <v>21</v>
      </c>
      <c r="D32" s="5" t="s">
        <v>74</v>
      </c>
      <c r="E32" s="5" t="s">
        <v>33</v>
      </c>
      <c r="F32" s="5">
        <v>1</v>
      </c>
      <c r="G32" s="4">
        <v>6500</v>
      </c>
      <c r="H32" s="4">
        <f t="shared" si="0"/>
        <v>6500</v>
      </c>
      <c r="I32" s="4">
        <v>8000</v>
      </c>
      <c r="J32" s="4">
        <f t="shared" si="1"/>
        <v>1500</v>
      </c>
      <c r="K32" s="11">
        <f t="shared" si="2"/>
        <v>0.1875</v>
      </c>
      <c r="L32" s="5"/>
      <c r="M32" s="4">
        <f t="shared" si="3"/>
        <v>680</v>
      </c>
      <c r="N32" s="4">
        <f t="shared" si="4"/>
        <v>7320</v>
      </c>
      <c r="O32" s="4">
        <f t="shared" si="5"/>
        <v>820</v>
      </c>
    </row>
    <row r="33" spans="1:15">
      <c r="A33" s="10">
        <v>45839</v>
      </c>
      <c r="B33" s="5">
        <v>1031</v>
      </c>
      <c r="C33" s="5" t="s">
        <v>26</v>
      </c>
      <c r="D33" s="5" t="s">
        <v>76</v>
      </c>
      <c r="E33" s="5" t="s">
        <v>30</v>
      </c>
      <c r="F33" s="5">
        <v>3</v>
      </c>
      <c r="G33" s="4">
        <v>21500</v>
      </c>
      <c r="H33" s="4">
        <f t="shared" si="0"/>
        <v>64500</v>
      </c>
      <c r="I33" s="4">
        <v>24000</v>
      </c>
      <c r="J33" s="4">
        <f t="shared" si="1"/>
        <v>2500</v>
      </c>
      <c r="K33" s="11">
        <f t="shared" si="2"/>
        <v>0.104166666666667</v>
      </c>
      <c r="L33" s="5"/>
      <c r="M33" s="4">
        <f t="shared" si="3"/>
        <v>6120</v>
      </c>
      <c r="N33" s="4">
        <f t="shared" si="4"/>
        <v>65880</v>
      </c>
      <c r="O33" s="4">
        <f t="shared" si="5"/>
        <v>1380</v>
      </c>
    </row>
    <row r="34" spans="1:15">
      <c r="A34" s="10">
        <v>45840</v>
      </c>
      <c r="B34" s="5">
        <v>1032</v>
      </c>
      <c r="C34" s="5" t="s">
        <v>40</v>
      </c>
      <c r="D34" s="5" t="s">
        <v>77</v>
      </c>
      <c r="E34" s="5" t="s">
        <v>17</v>
      </c>
      <c r="F34" s="5">
        <v>2</v>
      </c>
      <c r="G34" s="4">
        <v>27000</v>
      </c>
      <c r="H34" s="4">
        <f t="shared" si="0"/>
        <v>54000</v>
      </c>
      <c r="I34" s="4">
        <v>30000</v>
      </c>
      <c r="J34" s="4">
        <f t="shared" si="1"/>
        <v>3000</v>
      </c>
      <c r="K34" s="11">
        <f t="shared" si="2"/>
        <v>0.1</v>
      </c>
      <c r="L34" s="5"/>
      <c r="M34" s="4">
        <f t="shared" si="3"/>
        <v>5100</v>
      </c>
      <c r="N34" s="4">
        <f t="shared" si="4"/>
        <v>54900</v>
      </c>
      <c r="O34" s="4">
        <f t="shared" si="5"/>
        <v>900</v>
      </c>
    </row>
    <row r="35" spans="1:15">
      <c r="A35" s="10">
        <v>45841</v>
      </c>
      <c r="B35" s="5">
        <v>1033</v>
      </c>
      <c r="C35" s="5" t="s">
        <v>15</v>
      </c>
      <c r="D35" s="5" t="s">
        <v>78</v>
      </c>
      <c r="E35" s="5" t="s">
        <v>69</v>
      </c>
      <c r="F35" s="5">
        <v>3</v>
      </c>
      <c r="G35" s="4">
        <v>13000</v>
      </c>
      <c r="H35" s="4">
        <f t="shared" si="0"/>
        <v>39000</v>
      </c>
      <c r="I35" s="4">
        <v>15000</v>
      </c>
      <c r="J35" s="4">
        <f t="shared" si="1"/>
        <v>2000</v>
      </c>
      <c r="K35" s="11">
        <f t="shared" si="2"/>
        <v>0.133333333333333</v>
      </c>
      <c r="L35" s="5"/>
      <c r="M35" s="4">
        <f t="shared" si="3"/>
        <v>3825</v>
      </c>
      <c r="N35" s="4">
        <f t="shared" si="4"/>
        <v>41175</v>
      </c>
      <c r="O35" s="4">
        <f t="shared" si="5"/>
        <v>2175</v>
      </c>
    </row>
    <row r="36" spans="1:15">
      <c r="A36" s="10">
        <v>45842</v>
      </c>
      <c r="B36" s="5">
        <v>1034</v>
      </c>
      <c r="C36" s="5" t="s">
        <v>46</v>
      </c>
      <c r="D36" s="5" t="s">
        <v>79</v>
      </c>
      <c r="E36" s="5" t="s">
        <v>30</v>
      </c>
      <c r="F36" s="5">
        <v>2</v>
      </c>
      <c r="G36" s="4">
        <v>15000</v>
      </c>
      <c r="H36" s="4">
        <f t="shared" si="0"/>
        <v>30000</v>
      </c>
      <c r="I36" s="4">
        <v>18000</v>
      </c>
      <c r="J36" s="4">
        <f t="shared" si="1"/>
        <v>3000</v>
      </c>
      <c r="K36" s="11">
        <f t="shared" si="2"/>
        <v>0.166666666666667</v>
      </c>
      <c r="L36" s="5"/>
      <c r="M36" s="4">
        <f t="shared" si="3"/>
        <v>3060</v>
      </c>
      <c r="N36" s="4">
        <f t="shared" si="4"/>
        <v>32940</v>
      </c>
      <c r="O36" s="4">
        <f t="shared" si="5"/>
        <v>2940</v>
      </c>
    </row>
    <row r="37" spans="1:15">
      <c r="A37" s="10">
        <v>45843</v>
      </c>
      <c r="B37" s="5">
        <v>1035</v>
      </c>
      <c r="C37" s="5" t="s">
        <v>37</v>
      </c>
      <c r="D37" s="5" t="s">
        <v>80</v>
      </c>
      <c r="E37" s="5" t="s">
        <v>81</v>
      </c>
      <c r="F37" s="5">
        <v>5</v>
      </c>
      <c r="G37" s="4">
        <v>11000</v>
      </c>
      <c r="H37" s="4">
        <f t="shared" si="0"/>
        <v>55000</v>
      </c>
      <c r="I37" s="4">
        <v>14000</v>
      </c>
      <c r="J37" s="4">
        <f t="shared" si="1"/>
        <v>3000</v>
      </c>
      <c r="K37" s="11">
        <f t="shared" si="2"/>
        <v>0.214285714285714</v>
      </c>
      <c r="L37" s="5"/>
      <c r="M37" s="4">
        <f t="shared" si="3"/>
        <v>5950</v>
      </c>
      <c r="N37" s="4">
        <f t="shared" si="4"/>
        <v>64050</v>
      </c>
      <c r="O37" s="4">
        <f t="shared" si="5"/>
        <v>9050</v>
      </c>
    </row>
    <row r="38" spans="1:15">
      <c r="A38" s="10">
        <v>45844</v>
      </c>
      <c r="B38" s="5">
        <v>1036</v>
      </c>
      <c r="C38" s="5" t="s">
        <v>49</v>
      </c>
      <c r="D38" s="5" t="s">
        <v>82</v>
      </c>
      <c r="E38" s="5" t="s">
        <v>30</v>
      </c>
      <c r="F38" s="5">
        <v>6</v>
      </c>
      <c r="G38" s="4">
        <v>19500</v>
      </c>
      <c r="H38" s="4">
        <f t="shared" si="0"/>
        <v>117000</v>
      </c>
      <c r="I38" s="4">
        <v>22000</v>
      </c>
      <c r="J38" s="4">
        <f t="shared" si="1"/>
        <v>2500</v>
      </c>
      <c r="K38" s="11">
        <f t="shared" si="2"/>
        <v>0.113636363636364</v>
      </c>
      <c r="L38" s="5"/>
      <c r="M38" s="4">
        <f t="shared" si="3"/>
        <v>11220</v>
      </c>
      <c r="N38" s="4">
        <f t="shared" si="4"/>
        <v>120780</v>
      </c>
      <c r="O38" s="4">
        <f t="shared" si="5"/>
        <v>3780</v>
      </c>
    </row>
    <row r="39" spans="1:15">
      <c r="A39" s="10">
        <v>45845</v>
      </c>
      <c r="B39" s="5">
        <v>1037</v>
      </c>
      <c r="C39" s="5" t="s">
        <v>70</v>
      </c>
      <c r="D39" s="5" t="s">
        <v>83</v>
      </c>
      <c r="E39" s="5" t="s">
        <v>17</v>
      </c>
      <c r="F39" s="5">
        <v>3</v>
      </c>
      <c r="G39" s="4">
        <v>10000</v>
      </c>
      <c r="H39" s="4">
        <f t="shared" si="0"/>
        <v>30000</v>
      </c>
      <c r="I39" s="4">
        <v>12500</v>
      </c>
      <c r="J39" s="4">
        <f t="shared" si="1"/>
        <v>2500</v>
      </c>
      <c r="K39" s="11">
        <f t="shared" si="2"/>
        <v>0.2</v>
      </c>
      <c r="L39" s="5"/>
      <c r="M39" s="4">
        <f t="shared" si="3"/>
        <v>3187.5</v>
      </c>
      <c r="N39" s="4">
        <f t="shared" si="4"/>
        <v>34312.5</v>
      </c>
      <c r="O39" s="4">
        <f t="shared" si="5"/>
        <v>4312.5</v>
      </c>
    </row>
    <row r="40" spans="1:15">
      <c r="A40" s="10">
        <v>45846</v>
      </c>
      <c r="B40" s="5">
        <v>1038</v>
      </c>
      <c r="C40" s="5" t="s">
        <v>53</v>
      </c>
      <c r="D40" s="5" t="s">
        <v>84</v>
      </c>
      <c r="E40" s="5" t="s">
        <v>45</v>
      </c>
      <c r="F40" s="5">
        <v>4</v>
      </c>
      <c r="G40" s="4">
        <v>12000</v>
      </c>
      <c r="H40" s="4">
        <f t="shared" si="0"/>
        <v>48000</v>
      </c>
      <c r="I40" s="4">
        <v>14500</v>
      </c>
      <c r="J40" s="4">
        <f t="shared" si="1"/>
        <v>2500</v>
      </c>
      <c r="K40" s="11">
        <f t="shared" si="2"/>
        <v>0.172413793103448</v>
      </c>
      <c r="L40" s="5"/>
      <c r="M40" s="4">
        <f t="shared" si="3"/>
        <v>4930</v>
      </c>
      <c r="N40" s="4">
        <f t="shared" si="4"/>
        <v>53070</v>
      </c>
      <c r="O40" s="4">
        <f t="shared" si="5"/>
        <v>5070</v>
      </c>
    </row>
    <row r="41" spans="1:15">
      <c r="A41" s="10">
        <v>45847</v>
      </c>
      <c r="B41" s="5">
        <v>1039</v>
      </c>
      <c r="C41" s="5" t="s">
        <v>85</v>
      </c>
      <c r="D41" s="5" t="s">
        <v>86</v>
      </c>
      <c r="E41" s="5" t="s">
        <v>81</v>
      </c>
      <c r="F41" s="5">
        <v>3</v>
      </c>
      <c r="G41" s="4">
        <v>6500</v>
      </c>
      <c r="H41" s="4">
        <f t="shared" si="0"/>
        <v>19500</v>
      </c>
      <c r="I41" s="4">
        <v>8000</v>
      </c>
      <c r="J41" s="4">
        <f t="shared" si="1"/>
        <v>1500</v>
      </c>
      <c r="K41" s="11">
        <f t="shared" si="2"/>
        <v>0.1875</v>
      </c>
      <c r="L41" s="5"/>
      <c r="M41" s="4">
        <f t="shared" si="3"/>
        <v>2040</v>
      </c>
      <c r="N41" s="4">
        <f t="shared" si="4"/>
        <v>21960</v>
      </c>
      <c r="O41" s="4">
        <f t="shared" si="5"/>
        <v>2460</v>
      </c>
    </row>
    <row r="42" spans="1:15">
      <c r="A42" s="10">
        <v>45848</v>
      </c>
      <c r="B42" s="5">
        <v>1040</v>
      </c>
      <c r="C42" s="5" t="s">
        <v>87</v>
      </c>
      <c r="D42" s="5" t="s">
        <v>88</v>
      </c>
      <c r="E42" s="5" t="s">
        <v>45</v>
      </c>
      <c r="F42" s="5">
        <v>2</v>
      </c>
      <c r="G42" s="4">
        <v>7000</v>
      </c>
      <c r="H42" s="4">
        <f t="shared" si="0"/>
        <v>14000</v>
      </c>
      <c r="I42" s="4">
        <v>9500</v>
      </c>
      <c r="J42" s="4">
        <f t="shared" si="1"/>
        <v>2500</v>
      </c>
      <c r="K42" s="11">
        <f t="shared" si="2"/>
        <v>0.263157894736842</v>
      </c>
      <c r="L42" s="5"/>
      <c r="M42" s="4">
        <f t="shared" si="3"/>
        <v>1615</v>
      </c>
      <c r="N42" s="4">
        <f t="shared" si="4"/>
        <v>17385</v>
      </c>
      <c r="O42" s="4">
        <f t="shared" si="5"/>
        <v>3385</v>
      </c>
    </row>
    <row r="43" spans="1:15">
      <c r="A43" s="10">
        <v>45849</v>
      </c>
      <c r="B43" s="5">
        <v>1041</v>
      </c>
      <c r="C43" s="5" t="s">
        <v>43</v>
      </c>
      <c r="D43" s="5" t="s">
        <v>89</v>
      </c>
      <c r="E43" s="5" t="s">
        <v>17</v>
      </c>
      <c r="F43" s="5">
        <v>3</v>
      </c>
      <c r="G43" s="4">
        <v>26000</v>
      </c>
      <c r="H43" s="4">
        <f t="shared" si="0"/>
        <v>78000</v>
      </c>
      <c r="I43" s="4">
        <v>29500</v>
      </c>
      <c r="J43" s="4">
        <f t="shared" si="1"/>
        <v>3500</v>
      </c>
      <c r="K43" s="11">
        <f t="shared" si="2"/>
        <v>0.11864406779661</v>
      </c>
      <c r="L43" s="5"/>
      <c r="M43" s="4">
        <f t="shared" si="3"/>
        <v>7522.5</v>
      </c>
      <c r="N43" s="4">
        <f t="shared" si="4"/>
        <v>80977.5</v>
      </c>
      <c r="O43" s="4">
        <f t="shared" si="5"/>
        <v>2977.5</v>
      </c>
    </row>
    <row r="44" spans="1:15">
      <c r="A44" s="10">
        <v>45850</v>
      </c>
      <c r="B44" s="5">
        <v>1042</v>
      </c>
      <c r="C44" s="5" t="s">
        <v>70</v>
      </c>
      <c r="D44" s="5" t="s">
        <v>90</v>
      </c>
      <c r="E44" s="5" t="s">
        <v>48</v>
      </c>
      <c r="F44" s="5">
        <v>2</v>
      </c>
      <c r="G44" s="4">
        <v>9000</v>
      </c>
      <c r="H44" s="4">
        <f t="shared" si="0"/>
        <v>18000</v>
      </c>
      <c r="I44" s="4">
        <v>12000</v>
      </c>
      <c r="J44" s="4">
        <f t="shared" si="1"/>
        <v>3000</v>
      </c>
      <c r="K44" s="11">
        <f t="shared" si="2"/>
        <v>0.25</v>
      </c>
      <c r="L44" s="5"/>
      <c r="M44" s="4">
        <f t="shared" si="3"/>
        <v>2040</v>
      </c>
      <c r="N44" s="4">
        <f t="shared" si="4"/>
        <v>21960</v>
      </c>
      <c r="O44" s="4">
        <f t="shared" si="5"/>
        <v>3960</v>
      </c>
    </row>
    <row r="45" spans="1:15">
      <c r="A45" s="10">
        <v>45851</v>
      </c>
      <c r="B45" s="5">
        <v>1043</v>
      </c>
      <c r="C45" s="5" t="s">
        <v>67</v>
      </c>
      <c r="D45" s="5" t="s">
        <v>91</v>
      </c>
      <c r="E45" s="5" t="s">
        <v>17</v>
      </c>
      <c r="F45" s="5">
        <v>3</v>
      </c>
      <c r="G45" s="4">
        <v>12000</v>
      </c>
      <c r="H45" s="4">
        <f t="shared" si="0"/>
        <v>36000</v>
      </c>
      <c r="I45" s="4">
        <v>14500</v>
      </c>
      <c r="J45" s="4">
        <f t="shared" si="1"/>
        <v>2500</v>
      </c>
      <c r="K45" s="11">
        <f t="shared" si="2"/>
        <v>0.172413793103448</v>
      </c>
      <c r="L45" s="5"/>
      <c r="M45" s="4">
        <f t="shared" si="3"/>
        <v>3697.5</v>
      </c>
      <c r="N45" s="4">
        <f t="shared" si="4"/>
        <v>39802.5</v>
      </c>
      <c r="O45" s="4">
        <f t="shared" si="5"/>
        <v>3802.5</v>
      </c>
    </row>
    <row r="46" spans="1:15">
      <c r="A46" s="10">
        <v>45852</v>
      </c>
      <c r="B46" s="5">
        <v>1044</v>
      </c>
      <c r="C46" s="5" t="s">
        <v>92</v>
      </c>
      <c r="D46" s="5" t="s">
        <v>93</v>
      </c>
      <c r="E46" s="5" t="s">
        <v>17</v>
      </c>
      <c r="F46" s="5">
        <v>1</v>
      </c>
      <c r="G46" s="4">
        <v>20000</v>
      </c>
      <c r="H46" s="4">
        <f t="shared" si="0"/>
        <v>20000</v>
      </c>
      <c r="I46" s="4">
        <v>22700</v>
      </c>
      <c r="J46" s="4">
        <f t="shared" si="1"/>
        <v>2700</v>
      </c>
      <c r="K46" s="11">
        <f t="shared" si="2"/>
        <v>0.118942731277533</v>
      </c>
      <c r="L46" s="5"/>
      <c r="M46" s="4">
        <f t="shared" si="3"/>
        <v>1929.5</v>
      </c>
      <c r="N46" s="4">
        <f t="shared" si="4"/>
        <v>20770.5</v>
      </c>
      <c r="O46" s="4">
        <f t="shared" si="5"/>
        <v>770.5</v>
      </c>
    </row>
    <row r="47" spans="1:15">
      <c r="A47" s="10">
        <v>45853</v>
      </c>
      <c r="B47" s="5">
        <v>1045</v>
      </c>
      <c r="C47" s="5" t="s">
        <v>18</v>
      </c>
      <c r="D47" s="5" t="s">
        <v>94</v>
      </c>
      <c r="E47" s="5" t="s">
        <v>95</v>
      </c>
      <c r="F47" s="5">
        <v>7</v>
      </c>
      <c r="G47" s="4">
        <v>4000</v>
      </c>
      <c r="H47" s="4">
        <f t="shared" si="0"/>
        <v>28000</v>
      </c>
      <c r="I47" s="4">
        <v>6700</v>
      </c>
      <c r="J47" s="4">
        <f t="shared" si="1"/>
        <v>2700</v>
      </c>
      <c r="K47" s="11">
        <f t="shared" si="2"/>
        <v>0.402985074626866</v>
      </c>
      <c r="L47" s="5"/>
      <c r="M47" s="4">
        <f t="shared" si="3"/>
        <v>3986.5</v>
      </c>
      <c r="N47" s="4">
        <f t="shared" si="4"/>
        <v>42913.5</v>
      </c>
      <c r="O47" s="4">
        <f t="shared" si="5"/>
        <v>14913.5</v>
      </c>
    </row>
    <row r="48" spans="1:15">
      <c r="A48" s="10">
        <v>45854</v>
      </c>
      <c r="B48" s="5">
        <v>1046</v>
      </c>
      <c r="C48" s="5" t="s">
        <v>96</v>
      </c>
      <c r="D48" s="5" t="s">
        <v>97</v>
      </c>
      <c r="E48" s="5" t="s">
        <v>30</v>
      </c>
      <c r="F48" s="5">
        <v>2</v>
      </c>
      <c r="G48" s="4">
        <v>20000</v>
      </c>
      <c r="H48" s="4">
        <f t="shared" si="0"/>
        <v>40000</v>
      </c>
      <c r="I48" s="4">
        <v>22300</v>
      </c>
      <c r="J48" s="4">
        <f t="shared" si="1"/>
        <v>2300</v>
      </c>
      <c r="K48" s="11">
        <f t="shared" si="2"/>
        <v>0.103139013452915</v>
      </c>
      <c r="L48" s="5"/>
      <c r="M48" s="4">
        <f t="shared" si="3"/>
        <v>3791</v>
      </c>
      <c r="N48" s="4">
        <f t="shared" si="4"/>
        <v>40809</v>
      </c>
      <c r="O48" s="4">
        <f t="shared" si="5"/>
        <v>809</v>
      </c>
    </row>
    <row r="49" spans="1:15">
      <c r="A49" s="10">
        <v>45855</v>
      </c>
      <c r="B49" s="5">
        <v>1047</v>
      </c>
      <c r="C49" s="5" t="s">
        <v>87</v>
      </c>
      <c r="D49" s="5" t="s">
        <v>98</v>
      </c>
      <c r="E49" s="5" t="s">
        <v>17</v>
      </c>
      <c r="F49" s="5">
        <v>3</v>
      </c>
      <c r="G49" s="4">
        <v>30000</v>
      </c>
      <c r="H49" s="4">
        <f t="shared" si="0"/>
        <v>90000</v>
      </c>
      <c r="I49" s="4">
        <v>33000</v>
      </c>
      <c r="J49" s="4">
        <f t="shared" si="1"/>
        <v>3000</v>
      </c>
      <c r="K49" s="11">
        <f t="shared" si="2"/>
        <v>0.0909090909090909</v>
      </c>
      <c r="L49" s="5"/>
      <c r="M49" s="4">
        <f t="shared" si="3"/>
        <v>8415</v>
      </c>
      <c r="N49" s="4">
        <f t="shared" si="4"/>
        <v>90585</v>
      </c>
      <c r="O49" s="4">
        <f t="shared" si="5"/>
        <v>585</v>
      </c>
    </row>
    <row r="50" spans="1:15">
      <c r="A50" s="10">
        <v>45856</v>
      </c>
      <c r="B50" s="5">
        <v>1048</v>
      </c>
      <c r="C50" s="5" t="s">
        <v>15</v>
      </c>
      <c r="D50" s="5" t="s">
        <v>99</v>
      </c>
      <c r="E50" s="5" t="s">
        <v>20</v>
      </c>
      <c r="F50" s="5">
        <v>2</v>
      </c>
      <c r="G50" s="4">
        <v>22000</v>
      </c>
      <c r="H50" s="4">
        <f t="shared" si="0"/>
        <v>44000</v>
      </c>
      <c r="I50" s="4">
        <v>24500</v>
      </c>
      <c r="J50" s="4">
        <f t="shared" si="1"/>
        <v>2500</v>
      </c>
      <c r="K50" s="11">
        <f t="shared" si="2"/>
        <v>0.102040816326531</v>
      </c>
      <c r="L50" s="5"/>
      <c r="M50" s="4">
        <f t="shared" si="3"/>
        <v>4165</v>
      </c>
      <c r="N50" s="4">
        <f t="shared" si="4"/>
        <v>44835</v>
      </c>
      <c r="O50" s="4">
        <f t="shared" si="5"/>
        <v>835</v>
      </c>
    </row>
    <row r="51" spans="1:15">
      <c r="A51" s="10">
        <v>45857</v>
      </c>
      <c r="B51" s="5">
        <v>1049</v>
      </c>
      <c r="C51" s="5" t="s">
        <v>43</v>
      </c>
      <c r="D51" s="5" t="s">
        <v>100</v>
      </c>
      <c r="E51" s="5" t="s">
        <v>58</v>
      </c>
      <c r="F51" s="5">
        <v>3</v>
      </c>
      <c r="G51" s="4">
        <v>15000</v>
      </c>
      <c r="H51" s="4">
        <f t="shared" si="0"/>
        <v>45000</v>
      </c>
      <c r="I51" s="4">
        <v>19000</v>
      </c>
      <c r="J51" s="4">
        <f t="shared" si="1"/>
        <v>4000</v>
      </c>
      <c r="K51" s="11">
        <f t="shared" si="2"/>
        <v>0.210526315789474</v>
      </c>
      <c r="L51" s="5"/>
      <c r="M51" s="4">
        <f t="shared" si="3"/>
        <v>4845</v>
      </c>
      <c r="N51" s="4">
        <f t="shared" si="4"/>
        <v>52155</v>
      </c>
      <c r="O51" s="4">
        <f t="shared" si="5"/>
        <v>7155</v>
      </c>
    </row>
    <row r="52" spans="1:15">
      <c r="A52" s="10">
        <v>45858</v>
      </c>
      <c r="B52" s="5">
        <v>1050</v>
      </c>
      <c r="C52" s="5" t="s">
        <v>72</v>
      </c>
      <c r="D52" s="5" t="s">
        <v>101</v>
      </c>
      <c r="E52" s="5" t="s">
        <v>30</v>
      </c>
      <c r="F52" s="5">
        <v>3</v>
      </c>
      <c r="G52" s="4">
        <v>12000</v>
      </c>
      <c r="H52" s="4">
        <f t="shared" si="0"/>
        <v>36000</v>
      </c>
      <c r="I52" s="4">
        <v>14500</v>
      </c>
      <c r="J52" s="4">
        <f t="shared" si="1"/>
        <v>2500</v>
      </c>
      <c r="K52" s="11">
        <f t="shared" si="2"/>
        <v>0.172413793103448</v>
      </c>
      <c r="L52" s="5"/>
      <c r="M52" s="4">
        <f t="shared" si="3"/>
        <v>3697.5</v>
      </c>
      <c r="N52" s="4">
        <f t="shared" si="4"/>
        <v>39802.5</v>
      </c>
      <c r="O52" s="4">
        <f t="shared" si="5"/>
        <v>3802.5</v>
      </c>
    </row>
    <row r="53" spans="1:15">
      <c r="A53" s="10">
        <v>45859</v>
      </c>
      <c r="B53" s="5">
        <v>1051</v>
      </c>
      <c r="C53" s="5" t="s">
        <v>70</v>
      </c>
      <c r="D53" s="5" t="s">
        <v>102</v>
      </c>
      <c r="E53" s="5" t="s">
        <v>69</v>
      </c>
      <c r="F53" s="5">
        <v>2</v>
      </c>
      <c r="G53" s="4">
        <v>18000</v>
      </c>
      <c r="H53" s="4">
        <f t="shared" si="0"/>
        <v>36000</v>
      </c>
      <c r="I53" s="4">
        <v>20000</v>
      </c>
      <c r="J53" s="4">
        <f t="shared" si="1"/>
        <v>2000</v>
      </c>
      <c r="K53" s="11">
        <f t="shared" si="2"/>
        <v>0.1</v>
      </c>
      <c r="L53" s="5"/>
      <c r="M53" s="4">
        <f t="shared" si="3"/>
        <v>3400</v>
      </c>
      <c r="N53" s="4">
        <f t="shared" si="4"/>
        <v>36600</v>
      </c>
      <c r="O53" s="4">
        <f t="shared" si="5"/>
        <v>600</v>
      </c>
    </row>
    <row r="54" spans="1:15">
      <c r="A54" s="10">
        <v>45860</v>
      </c>
      <c r="B54" s="5">
        <v>1052</v>
      </c>
      <c r="C54" s="5" t="s">
        <v>67</v>
      </c>
      <c r="D54" s="5" t="s">
        <v>103</v>
      </c>
      <c r="E54" s="5" t="s">
        <v>17</v>
      </c>
      <c r="F54" s="5">
        <v>3</v>
      </c>
      <c r="G54" s="4">
        <v>15000</v>
      </c>
      <c r="H54" s="4">
        <f t="shared" si="0"/>
        <v>45000</v>
      </c>
      <c r="I54" s="4">
        <v>19500</v>
      </c>
      <c r="J54" s="4">
        <f t="shared" si="1"/>
        <v>4500</v>
      </c>
      <c r="K54" s="11">
        <f t="shared" si="2"/>
        <v>0.230769230769231</v>
      </c>
      <c r="L54" s="5"/>
      <c r="M54" s="4">
        <f t="shared" si="3"/>
        <v>4972.5</v>
      </c>
      <c r="N54" s="4">
        <f t="shared" si="4"/>
        <v>53527.5</v>
      </c>
      <c r="O54" s="4">
        <f t="shared" si="5"/>
        <v>8527.5</v>
      </c>
    </row>
    <row r="55" spans="1:15">
      <c r="A55" s="10">
        <v>45861</v>
      </c>
      <c r="B55" s="5">
        <v>1053</v>
      </c>
      <c r="C55" s="5" t="s">
        <v>46</v>
      </c>
      <c r="D55" s="5" t="s">
        <v>104</v>
      </c>
      <c r="E55" s="5" t="s">
        <v>69</v>
      </c>
      <c r="F55" s="5">
        <v>2</v>
      </c>
      <c r="G55" s="4">
        <v>13500</v>
      </c>
      <c r="H55" s="4">
        <f t="shared" si="0"/>
        <v>27000</v>
      </c>
      <c r="I55" s="4">
        <v>15500</v>
      </c>
      <c r="J55" s="4">
        <f t="shared" si="1"/>
        <v>2000</v>
      </c>
      <c r="K55" s="11">
        <f t="shared" si="2"/>
        <v>0.129032258064516</v>
      </c>
      <c r="L55" s="5"/>
      <c r="M55" s="4">
        <f t="shared" si="3"/>
        <v>2635</v>
      </c>
      <c r="N55" s="4">
        <f t="shared" si="4"/>
        <v>28365</v>
      </c>
      <c r="O55" s="4">
        <f t="shared" si="5"/>
        <v>1365</v>
      </c>
    </row>
    <row r="56" spans="1:15">
      <c r="A56" s="10">
        <v>45862</v>
      </c>
      <c r="B56" s="5">
        <v>1054</v>
      </c>
      <c r="C56" s="5" t="s">
        <v>105</v>
      </c>
      <c r="D56" s="5" t="s">
        <v>106</v>
      </c>
      <c r="E56" s="5" t="s">
        <v>48</v>
      </c>
      <c r="F56" s="5">
        <v>3</v>
      </c>
      <c r="G56" s="4">
        <v>10000</v>
      </c>
      <c r="H56" s="4">
        <f t="shared" si="0"/>
        <v>30000</v>
      </c>
      <c r="I56" s="4">
        <v>13700</v>
      </c>
      <c r="J56" s="4">
        <f t="shared" si="1"/>
        <v>3700</v>
      </c>
      <c r="K56" s="11">
        <f t="shared" si="2"/>
        <v>0.27007299270073</v>
      </c>
      <c r="L56" s="5"/>
      <c r="M56" s="4">
        <f t="shared" si="3"/>
        <v>3493.5</v>
      </c>
      <c r="N56" s="4">
        <f t="shared" si="4"/>
        <v>37606.5</v>
      </c>
      <c r="O56" s="4">
        <f t="shared" si="5"/>
        <v>7606.5</v>
      </c>
    </row>
    <row r="57" spans="1:15">
      <c r="A57" s="10">
        <v>45863</v>
      </c>
      <c r="B57" s="5">
        <v>1055</v>
      </c>
      <c r="C57" s="5" t="s">
        <v>53</v>
      </c>
      <c r="D57" s="5" t="s">
        <v>107</v>
      </c>
      <c r="E57" s="5" t="s">
        <v>30</v>
      </c>
      <c r="F57" s="5">
        <v>2</v>
      </c>
      <c r="G57" s="4">
        <v>20000</v>
      </c>
      <c r="H57" s="4">
        <f t="shared" si="0"/>
        <v>40000</v>
      </c>
      <c r="I57" s="4">
        <v>22600</v>
      </c>
      <c r="J57" s="4">
        <f t="shared" si="1"/>
        <v>2600</v>
      </c>
      <c r="K57" s="11">
        <f t="shared" si="2"/>
        <v>0.115044247787611</v>
      </c>
      <c r="L57" s="5"/>
      <c r="M57" s="4">
        <f t="shared" si="3"/>
        <v>3842</v>
      </c>
      <c r="N57" s="4">
        <f t="shared" si="4"/>
        <v>41358</v>
      </c>
      <c r="O57" s="4">
        <f t="shared" si="5"/>
        <v>1358</v>
      </c>
    </row>
    <row r="58" spans="1:15">
      <c r="A58" s="10">
        <v>45864</v>
      </c>
      <c r="B58" s="5">
        <v>1056</v>
      </c>
      <c r="C58" s="5" t="s">
        <v>85</v>
      </c>
      <c r="D58" s="5" t="s">
        <v>108</v>
      </c>
      <c r="E58" s="5" t="s">
        <v>17</v>
      </c>
      <c r="F58" s="5">
        <v>3</v>
      </c>
      <c r="G58" s="4">
        <v>15000</v>
      </c>
      <c r="H58" s="4">
        <f t="shared" si="0"/>
        <v>45000</v>
      </c>
      <c r="I58" s="4">
        <v>18400</v>
      </c>
      <c r="J58" s="4">
        <f t="shared" si="1"/>
        <v>3400</v>
      </c>
      <c r="K58" s="11">
        <f t="shared" si="2"/>
        <v>0.184782608695652</v>
      </c>
      <c r="L58" s="5"/>
      <c r="M58" s="4">
        <f t="shared" si="3"/>
        <v>4692</v>
      </c>
      <c r="N58" s="4">
        <f t="shared" si="4"/>
        <v>50508</v>
      </c>
      <c r="O58" s="4">
        <f t="shared" si="5"/>
        <v>5508</v>
      </c>
    </row>
    <row r="59" spans="1:15">
      <c r="A59" s="10">
        <v>45865</v>
      </c>
      <c r="B59" s="5">
        <v>1057</v>
      </c>
      <c r="C59" s="5" t="s">
        <v>96</v>
      </c>
      <c r="D59" s="5" t="s">
        <v>109</v>
      </c>
      <c r="E59" s="5" t="s">
        <v>17</v>
      </c>
      <c r="F59" s="5">
        <v>2</v>
      </c>
      <c r="G59" s="4">
        <v>26500</v>
      </c>
      <c r="H59" s="4">
        <f t="shared" si="0"/>
        <v>53000</v>
      </c>
      <c r="I59" s="4">
        <v>29400</v>
      </c>
      <c r="J59" s="4">
        <f t="shared" si="1"/>
        <v>2900</v>
      </c>
      <c r="K59" s="11">
        <f t="shared" si="2"/>
        <v>0.0986394557823129</v>
      </c>
      <c r="L59" s="5"/>
      <c r="M59" s="4">
        <f t="shared" si="3"/>
        <v>4998</v>
      </c>
      <c r="N59" s="4">
        <f t="shared" si="4"/>
        <v>53802</v>
      </c>
      <c r="O59" s="4">
        <f t="shared" si="5"/>
        <v>802</v>
      </c>
    </row>
    <row r="60" spans="1:15">
      <c r="A60" s="10">
        <v>45866</v>
      </c>
      <c r="B60" s="5">
        <v>1058</v>
      </c>
      <c r="C60" s="5" t="s">
        <v>15</v>
      </c>
      <c r="D60" s="5" t="s">
        <v>110</v>
      </c>
      <c r="E60" s="5" t="s">
        <v>69</v>
      </c>
      <c r="F60" s="5">
        <v>3</v>
      </c>
      <c r="G60" s="4">
        <v>19000</v>
      </c>
      <c r="H60" s="4">
        <f t="shared" si="0"/>
        <v>57000</v>
      </c>
      <c r="I60" s="4">
        <v>23450</v>
      </c>
      <c r="J60" s="4">
        <f t="shared" si="1"/>
        <v>4450</v>
      </c>
      <c r="K60" s="11">
        <f t="shared" si="2"/>
        <v>0.189765458422175</v>
      </c>
      <c r="L60" s="5"/>
      <c r="M60" s="4">
        <f t="shared" si="3"/>
        <v>5979.75</v>
      </c>
      <c r="N60" s="4">
        <f t="shared" si="4"/>
        <v>64370.25</v>
      </c>
      <c r="O60" s="4">
        <f t="shared" si="5"/>
        <v>7370.25</v>
      </c>
    </row>
    <row r="61" spans="1:15">
      <c r="A61" s="10">
        <v>45867</v>
      </c>
      <c r="B61" s="5">
        <v>1059</v>
      </c>
      <c r="C61" s="5" t="s">
        <v>105</v>
      </c>
      <c r="D61" s="5" t="s">
        <v>111</v>
      </c>
      <c r="E61" s="5" t="s">
        <v>69</v>
      </c>
      <c r="F61" s="5">
        <v>2</v>
      </c>
      <c r="G61" s="4">
        <v>18000</v>
      </c>
      <c r="H61" s="4">
        <f t="shared" si="0"/>
        <v>36000</v>
      </c>
      <c r="I61" s="4">
        <v>21560</v>
      </c>
      <c r="J61" s="4">
        <f t="shared" si="1"/>
        <v>3560</v>
      </c>
      <c r="K61" s="11">
        <f t="shared" si="2"/>
        <v>0.165120593692022</v>
      </c>
      <c r="L61" s="5"/>
      <c r="M61" s="4">
        <f t="shared" si="3"/>
        <v>3665.2</v>
      </c>
      <c r="N61" s="4">
        <f t="shared" si="4"/>
        <v>39454.8</v>
      </c>
      <c r="O61" s="4">
        <f t="shared" si="5"/>
        <v>3454.8</v>
      </c>
    </row>
    <row r="62" spans="1:15">
      <c r="A62" s="10">
        <v>45868</v>
      </c>
      <c r="B62" s="5">
        <v>1060</v>
      </c>
      <c r="C62" s="5" t="s">
        <v>85</v>
      </c>
      <c r="D62" s="5" t="s">
        <v>112</v>
      </c>
      <c r="E62" s="5" t="s">
        <v>39</v>
      </c>
      <c r="F62" s="5">
        <v>3</v>
      </c>
      <c r="G62" s="4">
        <v>30000</v>
      </c>
      <c r="H62" s="4">
        <f t="shared" si="0"/>
        <v>90000</v>
      </c>
      <c r="I62" s="4">
        <v>33420</v>
      </c>
      <c r="J62" s="4">
        <f t="shared" si="1"/>
        <v>3420</v>
      </c>
      <c r="K62" s="11">
        <f t="shared" si="2"/>
        <v>0.102333931777379</v>
      </c>
      <c r="L62" s="5"/>
      <c r="M62" s="4">
        <f t="shared" si="3"/>
        <v>8522.1</v>
      </c>
      <c r="N62" s="4">
        <f t="shared" si="4"/>
        <v>91737.9</v>
      </c>
      <c r="O62" s="4">
        <f t="shared" si="5"/>
        <v>1737.89999999999</v>
      </c>
    </row>
    <row r="63" spans="1:15">
      <c r="A63" s="10">
        <v>45869</v>
      </c>
      <c r="B63" s="5">
        <v>1061</v>
      </c>
      <c r="C63" s="5" t="s">
        <v>34</v>
      </c>
      <c r="D63" s="5" t="s">
        <v>113</v>
      </c>
      <c r="E63" s="5" t="s">
        <v>17</v>
      </c>
      <c r="F63" s="5">
        <v>2</v>
      </c>
      <c r="G63" s="4">
        <v>15000</v>
      </c>
      <c r="H63" s="4">
        <f t="shared" si="0"/>
        <v>30000</v>
      </c>
      <c r="I63" s="4">
        <v>17350</v>
      </c>
      <c r="J63" s="4">
        <f t="shared" si="1"/>
        <v>2350</v>
      </c>
      <c r="K63" s="11">
        <f t="shared" si="2"/>
        <v>0.135446685878963</v>
      </c>
      <c r="L63" s="5"/>
      <c r="M63" s="4">
        <f t="shared" si="3"/>
        <v>2949.5</v>
      </c>
      <c r="N63" s="4">
        <f t="shared" si="4"/>
        <v>31750.5</v>
      </c>
      <c r="O63" s="4">
        <f t="shared" si="5"/>
        <v>1750.5</v>
      </c>
    </row>
    <row r="64" spans="1:15">
      <c r="A64" s="10">
        <v>45870</v>
      </c>
      <c r="B64" s="5">
        <v>1062</v>
      </c>
      <c r="C64" s="5" t="s">
        <v>53</v>
      </c>
      <c r="D64" s="5" t="s">
        <v>114</v>
      </c>
      <c r="E64" s="5" t="s">
        <v>17</v>
      </c>
      <c r="F64" s="5">
        <v>4</v>
      </c>
      <c r="G64" s="4">
        <v>19000</v>
      </c>
      <c r="H64" s="4">
        <f t="shared" si="0"/>
        <v>76000</v>
      </c>
      <c r="I64" s="4">
        <v>22320</v>
      </c>
      <c r="J64" s="4">
        <f t="shared" si="1"/>
        <v>3320</v>
      </c>
      <c r="K64" s="11">
        <f t="shared" si="2"/>
        <v>0.148745519713262</v>
      </c>
      <c r="L64" s="5"/>
      <c r="M64" s="4">
        <f t="shared" si="3"/>
        <v>7588.8</v>
      </c>
      <c r="N64" s="4">
        <f t="shared" si="4"/>
        <v>81691.2</v>
      </c>
      <c r="O64" s="4">
        <f t="shared" si="5"/>
        <v>5691.2</v>
      </c>
    </row>
    <row r="65" spans="1:15">
      <c r="A65" s="10">
        <v>45871</v>
      </c>
      <c r="B65" s="5">
        <v>1063</v>
      </c>
      <c r="C65" s="5" t="s">
        <v>49</v>
      </c>
      <c r="D65" s="5" t="s">
        <v>115</v>
      </c>
      <c r="E65" s="5" t="s">
        <v>17</v>
      </c>
      <c r="F65" s="5">
        <v>3</v>
      </c>
      <c r="G65" s="4">
        <v>21000</v>
      </c>
      <c r="H65" s="4">
        <f t="shared" si="0"/>
        <v>63000</v>
      </c>
      <c r="I65" s="4">
        <v>24000</v>
      </c>
      <c r="J65" s="4">
        <f t="shared" si="1"/>
        <v>3000</v>
      </c>
      <c r="K65" s="11">
        <f t="shared" si="2"/>
        <v>0.125</v>
      </c>
      <c r="L65" s="5"/>
      <c r="M65" s="4">
        <f t="shared" si="3"/>
        <v>6120</v>
      </c>
      <c r="N65" s="4">
        <f t="shared" si="4"/>
        <v>65880</v>
      </c>
      <c r="O65" s="4">
        <f t="shared" si="5"/>
        <v>2880</v>
      </c>
    </row>
    <row r="66" spans="1:15">
      <c r="A66" s="10">
        <v>45872</v>
      </c>
      <c r="B66" s="5">
        <v>1064</v>
      </c>
      <c r="C66" s="5" t="s">
        <v>67</v>
      </c>
      <c r="D66" s="5" t="s">
        <v>116</v>
      </c>
      <c r="E66" s="5" t="s">
        <v>45</v>
      </c>
      <c r="F66" s="5">
        <v>2</v>
      </c>
      <c r="G66" s="4">
        <v>23000</v>
      </c>
      <c r="H66" s="4">
        <f t="shared" si="0"/>
        <v>46000</v>
      </c>
      <c r="I66" s="4">
        <v>24750</v>
      </c>
      <c r="J66" s="4">
        <f t="shared" si="1"/>
        <v>1750</v>
      </c>
      <c r="K66" s="11">
        <f t="shared" si="2"/>
        <v>0.0707070707070707</v>
      </c>
      <c r="L66" s="5"/>
      <c r="M66" s="4">
        <f t="shared" si="3"/>
        <v>4207.5</v>
      </c>
      <c r="N66" s="4">
        <f t="shared" si="4"/>
        <v>45292.5</v>
      </c>
      <c r="O66" s="4">
        <f t="shared" si="5"/>
        <v>-707.5</v>
      </c>
    </row>
    <row r="67" spans="1:15">
      <c r="A67" s="10">
        <v>45873</v>
      </c>
      <c r="B67" s="5">
        <v>1065</v>
      </c>
      <c r="C67" s="5" t="s">
        <v>117</v>
      </c>
      <c r="D67" s="5" t="s">
        <v>118</v>
      </c>
      <c r="E67" s="5" t="s">
        <v>69</v>
      </c>
      <c r="F67" s="5">
        <v>3</v>
      </c>
      <c r="G67" s="4">
        <v>11500</v>
      </c>
      <c r="H67" s="4">
        <f t="shared" si="0"/>
        <v>34500</v>
      </c>
      <c r="I67" s="4">
        <v>15000</v>
      </c>
      <c r="J67" s="4">
        <f t="shared" si="1"/>
        <v>3500</v>
      </c>
      <c r="K67" s="11">
        <f t="shared" si="2"/>
        <v>0.233333333333333</v>
      </c>
      <c r="L67" s="5"/>
      <c r="M67" s="4">
        <f t="shared" si="3"/>
        <v>3825</v>
      </c>
      <c r="N67" s="4">
        <f t="shared" si="4"/>
        <v>41175</v>
      </c>
      <c r="O67" s="4">
        <f t="shared" si="5"/>
        <v>6675</v>
      </c>
    </row>
    <row r="68" spans="1:15">
      <c r="A68" s="10">
        <v>45874</v>
      </c>
      <c r="B68" s="5">
        <v>1066</v>
      </c>
      <c r="C68" s="5" t="s">
        <v>105</v>
      </c>
      <c r="D68" s="5" t="s">
        <v>119</v>
      </c>
      <c r="E68" s="5" t="s">
        <v>69</v>
      </c>
      <c r="F68" s="5">
        <v>3</v>
      </c>
      <c r="G68" s="4">
        <v>9000</v>
      </c>
      <c r="H68" s="4">
        <f t="shared" ref="H68:H103" si="6">G68*F68</f>
        <v>27000</v>
      </c>
      <c r="I68" s="4">
        <v>10500</v>
      </c>
      <c r="J68" s="4">
        <f t="shared" ref="J68:J103" si="7">I68-G68</f>
        <v>1500</v>
      </c>
      <c r="K68" s="11">
        <f t="shared" ref="K68:K103" si="8">J68/I68</f>
        <v>0.142857142857143</v>
      </c>
      <c r="L68" s="5"/>
      <c r="M68" s="4">
        <f t="shared" ref="M68:M103" si="9">(I68*F68)*$L$2</f>
        <v>2677.5</v>
      </c>
      <c r="N68" s="4">
        <f t="shared" ref="N68:N103" si="10">(I68*F68)-M68</f>
        <v>28822.5</v>
      </c>
      <c r="O68" s="4">
        <f t="shared" ref="O68:O103" si="11">N68-H68</f>
        <v>1822.5</v>
      </c>
    </row>
    <row r="69" spans="1:15">
      <c r="A69" s="10">
        <v>45875</v>
      </c>
      <c r="B69" s="5">
        <v>1067</v>
      </c>
      <c r="C69" s="5" t="s">
        <v>15</v>
      </c>
      <c r="D69" s="5" t="s">
        <v>120</v>
      </c>
      <c r="E69" s="5" t="s">
        <v>17</v>
      </c>
      <c r="F69" s="5">
        <v>2</v>
      </c>
      <c r="G69" s="4">
        <v>20000</v>
      </c>
      <c r="H69" s="4">
        <f t="shared" si="6"/>
        <v>40000</v>
      </c>
      <c r="I69" s="4">
        <v>23410</v>
      </c>
      <c r="J69" s="4">
        <f t="shared" si="7"/>
        <v>3410</v>
      </c>
      <c r="K69" s="11">
        <f t="shared" si="8"/>
        <v>0.145664246048697</v>
      </c>
      <c r="L69" s="5"/>
      <c r="M69" s="4">
        <f t="shared" si="9"/>
        <v>3979.7</v>
      </c>
      <c r="N69" s="4">
        <f t="shared" si="10"/>
        <v>42840.3</v>
      </c>
      <c r="O69" s="4">
        <f t="shared" si="11"/>
        <v>2840.3</v>
      </c>
    </row>
    <row r="70" spans="1:15">
      <c r="A70" s="10">
        <v>45876</v>
      </c>
      <c r="B70" s="5">
        <v>1068</v>
      </c>
      <c r="C70" s="5" t="s">
        <v>43</v>
      </c>
      <c r="D70" s="5" t="s">
        <v>121</v>
      </c>
      <c r="E70" s="5" t="s">
        <v>17</v>
      </c>
      <c r="F70" s="5">
        <v>3</v>
      </c>
      <c r="G70" s="4">
        <v>47000</v>
      </c>
      <c r="H70" s="4">
        <f t="shared" si="6"/>
        <v>141000</v>
      </c>
      <c r="I70" s="4">
        <v>49500</v>
      </c>
      <c r="J70" s="4">
        <f t="shared" si="7"/>
        <v>2500</v>
      </c>
      <c r="K70" s="11">
        <f t="shared" si="8"/>
        <v>0.0505050505050505</v>
      </c>
      <c r="L70" s="5"/>
      <c r="M70" s="4">
        <f t="shared" si="9"/>
        <v>12622.5</v>
      </c>
      <c r="N70" s="4">
        <f t="shared" si="10"/>
        <v>135877.5</v>
      </c>
      <c r="O70" s="4">
        <f t="shared" si="11"/>
        <v>-5122.5</v>
      </c>
    </row>
    <row r="71" spans="1:15">
      <c r="A71" s="10">
        <v>45877</v>
      </c>
      <c r="B71" s="5">
        <v>1069</v>
      </c>
      <c r="C71" s="5" t="s">
        <v>70</v>
      </c>
      <c r="D71" s="5" t="s">
        <v>122</v>
      </c>
      <c r="E71" s="5" t="s">
        <v>33</v>
      </c>
      <c r="F71" s="5">
        <v>2</v>
      </c>
      <c r="G71" s="4">
        <v>12000</v>
      </c>
      <c r="H71" s="4">
        <f t="shared" si="6"/>
        <v>24000</v>
      </c>
      <c r="I71" s="4">
        <v>15000</v>
      </c>
      <c r="J71" s="4">
        <f t="shared" si="7"/>
        <v>3000</v>
      </c>
      <c r="K71" s="11">
        <f t="shared" si="8"/>
        <v>0.2</v>
      </c>
      <c r="L71" s="5"/>
      <c r="M71" s="4">
        <f t="shared" si="9"/>
        <v>2550</v>
      </c>
      <c r="N71" s="4">
        <f t="shared" si="10"/>
        <v>27450</v>
      </c>
      <c r="O71" s="4">
        <f t="shared" si="11"/>
        <v>3450</v>
      </c>
    </row>
    <row r="72" spans="1:15">
      <c r="A72" s="10">
        <v>45878</v>
      </c>
      <c r="B72" s="5">
        <v>1070</v>
      </c>
      <c r="C72" s="5" t="s">
        <v>72</v>
      </c>
      <c r="D72" s="5" t="s">
        <v>123</v>
      </c>
      <c r="E72" s="5" t="s">
        <v>69</v>
      </c>
      <c r="F72" s="5">
        <v>4</v>
      </c>
      <c r="G72" s="4">
        <v>9000</v>
      </c>
      <c r="H72" s="4">
        <f t="shared" si="6"/>
        <v>36000</v>
      </c>
      <c r="I72" s="4">
        <v>12300</v>
      </c>
      <c r="J72" s="4">
        <f t="shared" si="7"/>
        <v>3300</v>
      </c>
      <c r="K72" s="11">
        <f t="shared" si="8"/>
        <v>0.268292682926829</v>
      </c>
      <c r="L72" s="5"/>
      <c r="M72" s="4">
        <f t="shared" si="9"/>
        <v>4182</v>
      </c>
      <c r="N72" s="4">
        <f t="shared" si="10"/>
        <v>45018</v>
      </c>
      <c r="O72" s="4">
        <f t="shared" si="11"/>
        <v>9018</v>
      </c>
    </row>
    <row r="73" spans="1:15">
      <c r="A73" s="10">
        <v>45879</v>
      </c>
      <c r="B73" s="5">
        <v>1071</v>
      </c>
      <c r="C73" s="5" t="s">
        <v>72</v>
      </c>
      <c r="D73" s="5" t="s">
        <v>124</v>
      </c>
      <c r="E73" s="5" t="s">
        <v>33</v>
      </c>
      <c r="F73" s="5">
        <v>3</v>
      </c>
      <c r="G73" s="4">
        <v>13000</v>
      </c>
      <c r="H73" s="4">
        <f t="shared" si="6"/>
        <v>39000</v>
      </c>
      <c r="I73" s="4">
        <v>15600</v>
      </c>
      <c r="J73" s="4">
        <f t="shared" si="7"/>
        <v>2600</v>
      </c>
      <c r="K73" s="11">
        <f t="shared" si="8"/>
        <v>0.166666666666667</v>
      </c>
      <c r="L73" s="5"/>
      <c r="M73" s="4">
        <f t="shared" si="9"/>
        <v>3978</v>
      </c>
      <c r="N73" s="4">
        <f t="shared" si="10"/>
        <v>42822</v>
      </c>
      <c r="O73" s="4">
        <f t="shared" si="11"/>
        <v>3822</v>
      </c>
    </row>
    <row r="74" spans="1:15">
      <c r="A74" s="10">
        <v>45880</v>
      </c>
      <c r="B74" s="5">
        <v>1072</v>
      </c>
      <c r="C74" s="5" t="s">
        <v>85</v>
      </c>
      <c r="D74" s="5" t="s">
        <v>125</v>
      </c>
      <c r="E74" s="5" t="s">
        <v>17</v>
      </c>
      <c r="F74" s="5">
        <v>2</v>
      </c>
      <c r="G74" s="4">
        <v>14000</v>
      </c>
      <c r="H74" s="4">
        <f t="shared" si="6"/>
        <v>28000</v>
      </c>
      <c r="I74" s="4">
        <v>15900</v>
      </c>
      <c r="J74" s="4">
        <f t="shared" si="7"/>
        <v>1900</v>
      </c>
      <c r="K74" s="11">
        <f t="shared" si="8"/>
        <v>0.119496855345912</v>
      </c>
      <c r="L74" s="5"/>
      <c r="M74" s="4">
        <f t="shared" si="9"/>
        <v>2703</v>
      </c>
      <c r="N74" s="4">
        <f t="shared" si="10"/>
        <v>29097</v>
      </c>
      <c r="O74" s="4">
        <f t="shared" si="11"/>
        <v>1097</v>
      </c>
    </row>
    <row r="75" spans="1:15">
      <c r="A75" s="10">
        <v>45881</v>
      </c>
      <c r="B75" s="5">
        <v>1073</v>
      </c>
      <c r="C75" s="5" t="s">
        <v>96</v>
      </c>
      <c r="D75" s="5" t="s">
        <v>126</v>
      </c>
      <c r="E75" s="5" t="s">
        <v>69</v>
      </c>
      <c r="F75" s="5">
        <v>2</v>
      </c>
      <c r="G75" s="4">
        <v>21000</v>
      </c>
      <c r="H75" s="4">
        <f t="shared" si="6"/>
        <v>42000</v>
      </c>
      <c r="I75" s="4">
        <v>24000</v>
      </c>
      <c r="J75" s="4">
        <f t="shared" si="7"/>
        <v>3000</v>
      </c>
      <c r="K75" s="11">
        <f t="shared" si="8"/>
        <v>0.125</v>
      </c>
      <c r="L75" s="5"/>
      <c r="M75" s="4">
        <f t="shared" si="9"/>
        <v>4080</v>
      </c>
      <c r="N75" s="4">
        <f t="shared" si="10"/>
        <v>43920</v>
      </c>
      <c r="O75" s="4">
        <f t="shared" si="11"/>
        <v>1920</v>
      </c>
    </row>
    <row r="76" spans="1:15">
      <c r="A76" s="10">
        <v>45882</v>
      </c>
      <c r="B76" s="5">
        <v>1074</v>
      </c>
      <c r="C76" s="5" t="s">
        <v>127</v>
      </c>
      <c r="D76" s="5" t="s">
        <v>128</v>
      </c>
      <c r="E76" s="5" t="s">
        <v>48</v>
      </c>
      <c r="F76" s="5">
        <v>3</v>
      </c>
      <c r="G76" s="4">
        <v>23000</v>
      </c>
      <c r="H76" s="4">
        <f t="shared" si="6"/>
        <v>69000</v>
      </c>
      <c r="I76" s="4">
        <v>25400</v>
      </c>
      <c r="J76" s="4">
        <f t="shared" si="7"/>
        <v>2400</v>
      </c>
      <c r="K76" s="11">
        <f t="shared" si="8"/>
        <v>0.094488188976378</v>
      </c>
      <c r="L76" s="5"/>
      <c r="M76" s="4">
        <f t="shared" si="9"/>
        <v>6477</v>
      </c>
      <c r="N76" s="4">
        <f t="shared" si="10"/>
        <v>69723</v>
      </c>
      <c r="O76" s="4">
        <f t="shared" si="11"/>
        <v>723</v>
      </c>
    </row>
    <row r="77" spans="1:15">
      <c r="A77" s="10">
        <v>45883</v>
      </c>
      <c r="B77" s="5">
        <v>1075</v>
      </c>
      <c r="C77" s="5" t="s">
        <v>129</v>
      </c>
      <c r="D77" s="5" t="s">
        <v>130</v>
      </c>
      <c r="E77" s="5" t="s">
        <v>17</v>
      </c>
      <c r="F77" s="5">
        <v>2</v>
      </c>
      <c r="G77" s="4">
        <v>20000</v>
      </c>
      <c r="H77" s="4">
        <f t="shared" si="6"/>
        <v>40000</v>
      </c>
      <c r="I77" s="4">
        <v>21700</v>
      </c>
      <c r="J77" s="4">
        <f t="shared" si="7"/>
        <v>1700</v>
      </c>
      <c r="K77" s="11">
        <f t="shared" si="8"/>
        <v>0.0783410138248848</v>
      </c>
      <c r="L77" s="5"/>
      <c r="M77" s="4">
        <f t="shared" si="9"/>
        <v>3689</v>
      </c>
      <c r="N77" s="4">
        <f t="shared" si="10"/>
        <v>39711</v>
      </c>
      <c r="O77" s="4">
        <f t="shared" si="11"/>
        <v>-289</v>
      </c>
    </row>
    <row r="78" spans="1:15">
      <c r="A78" s="10">
        <v>45884</v>
      </c>
      <c r="B78" s="5">
        <v>1076</v>
      </c>
      <c r="C78" s="5" t="s">
        <v>49</v>
      </c>
      <c r="D78" s="5" t="s">
        <v>131</v>
      </c>
      <c r="E78" s="5" t="s">
        <v>48</v>
      </c>
      <c r="F78" s="5">
        <v>4</v>
      </c>
      <c r="G78" s="4">
        <v>14000</v>
      </c>
      <c r="H78" s="4">
        <f t="shared" si="6"/>
        <v>56000</v>
      </c>
      <c r="I78" s="4">
        <v>16000</v>
      </c>
      <c r="J78" s="4">
        <f t="shared" si="7"/>
        <v>2000</v>
      </c>
      <c r="K78" s="11">
        <f t="shared" si="8"/>
        <v>0.125</v>
      </c>
      <c r="L78" s="5"/>
      <c r="M78" s="4">
        <f t="shared" si="9"/>
        <v>5440</v>
      </c>
      <c r="N78" s="4">
        <f t="shared" si="10"/>
        <v>58560</v>
      </c>
      <c r="O78" s="4">
        <f t="shared" si="11"/>
        <v>2560</v>
      </c>
    </row>
    <row r="79" spans="1:15">
      <c r="A79" s="10">
        <v>45885</v>
      </c>
      <c r="B79" s="5">
        <v>1077</v>
      </c>
      <c r="C79" s="5" t="s">
        <v>43</v>
      </c>
      <c r="D79" s="5" t="s">
        <v>132</v>
      </c>
      <c r="E79" s="5" t="s">
        <v>48</v>
      </c>
      <c r="F79" s="5">
        <v>3</v>
      </c>
      <c r="G79" s="4">
        <v>19000</v>
      </c>
      <c r="H79" s="4">
        <f t="shared" si="6"/>
        <v>57000</v>
      </c>
      <c r="I79" s="4">
        <v>20900</v>
      </c>
      <c r="J79" s="4">
        <f t="shared" si="7"/>
        <v>1900</v>
      </c>
      <c r="K79" s="11">
        <f t="shared" si="8"/>
        <v>0.0909090909090909</v>
      </c>
      <c r="L79" s="5"/>
      <c r="M79" s="4">
        <f t="shared" si="9"/>
        <v>5329.5</v>
      </c>
      <c r="N79" s="4">
        <f t="shared" si="10"/>
        <v>57370.5</v>
      </c>
      <c r="O79" s="4">
        <f t="shared" si="11"/>
        <v>370.5</v>
      </c>
    </row>
    <row r="80" spans="1:15">
      <c r="A80" s="10">
        <v>45886</v>
      </c>
      <c r="B80" s="5">
        <v>1078</v>
      </c>
      <c r="C80" s="5" t="s">
        <v>46</v>
      </c>
      <c r="D80" s="5" t="s">
        <v>133</v>
      </c>
      <c r="E80" s="5" t="s">
        <v>58</v>
      </c>
      <c r="F80" s="5">
        <v>3</v>
      </c>
      <c r="G80" s="4">
        <v>10000</v>
      </c>
      <c r="H80" s="4">
        <f t="shared" si="6"/>
        <v>30000</v>
      </c>
      <c r="I80" s="4">
        <v>13150</v>
      </c>
      <c r="J80" s="4">
        <f t="shared" si="7"/>
        <v>3150</v>
      </c>
      <c r="K80" s="11">
        <f t="shared" si="8"/>
        <v>0.239543726235741</v>
      </c>
      <c r="L80" s="5"/>
      <c r="M80" s="4">
        <f t="shared" si="9"/>
        <v>3353.25</v>
      </c>
      <c r="N80" s="4">
        <f t="shared" si="10"/>
        <v>36096.75</v>
      </c>
      <c r="O80" s="4">
        <f t="shared" si="11"/>
        <v>6096.75</v>
      </c>
    </row>
    <row r="81" spans="1:15">
      <c r="A81" s="10">
        <v>45887</v>
      </c>
      <c r="B81" s="5">
        <v>1079</v>
      </c>
      <c r="C81" s="5" t="s">
        <v>134</v>
      </c>
      <c r="D81" s="5" t="s">
        <v>135</v>
      </c>
      <c r="E81" s="5" t="s">
        <v>69</v>
      </c>
      <c r="F81" s="5">
        <v>3</v>
      </c>
      <c r="G81" s="4">
        <v>6000</v>
      </c>
      <c r="H81" s="4">
        <f t="shared" si="6"/>
        <v>18000</v>
      </c>
      <c r="I81" s="4">
        <v>8300</v>
      </c>
      <c r="J81" s="4">
        <f t="shared" si="7"/>
        <v>2300</v>
      </c>
      <c r="K81" s="11">
        <f t="shared" si="8"/>
        <v>0.27710843373494</v>
      </c>
      <c r="L81" s="5"/>
      <c r="M81" s="4">
        <f t="shared" si="9"/>
        <v>2116.5</v>
      </c>
      <c r="N81" s="4">
        <f t="shared" si="10"/>
        <v>22783.5</v>
      </c>
      <c r="O81" s="4">
        <f t="shared" si="11"/>
        <v>4783.5</v>
      </c>
    </row>
    <row r="82" spans="1:15">
      <c r="A82" s="10">
        <v>45888</v>
      </c>
      <c r="B82" s="5">
        <v>1080</v>
      </c>
      <c r="C82" s="5" t="s">
        <v>105</v>
      </c>
      <c r="D82" s="5" t="s">
        <v>136</v>
      </c>
      <c r="E82" s="5" t="s">
        <v>69</v>
      </c>
      <c r="F82" s="5">
        <v>2</v>
      </c>
      <c r="G82" s="4">
        <v>11000</v>
      </c>
      <c r="H82" s="4">
        <f t="shared" si="6"/>
        <v>22000</v>
      </c>
      <c r="I82" s="4">
        <v>14000</v>
      </c>
      <c r="J82" s="4">
        <f t="shared" si="7"/>
        <v>3000</v>
      </c>
      <c r="K82" s="11">
        <f t="shared" si="8"/>
        <v>0.214285714285714</v>
      </c>
      <c r="L82" s="5"/>
      <c r="M82" s="4">
        <f t="shared" si="9"/>
        <v>2380</v>
      </c>
      <c r="N82" s="4">
        <f t="shared" si="10"/>
        <v>25620</v>
      </c>
      <c r="O82" s="4">
        <f t="shared" si="11"/>
        <v>3620</v>
      </c>
    </row>
    <row r="83" spans="1:15">
      <c r="A83" s="10">
        <v>45889</v>
      </c>
      <c r="B83" s="5">
        <v>1081</v>
      </c>
      <c r="C83" s="5" t="s">
        <v>67</v>
      </c>
      <c r="D83" s="5" t="s">
        <v>137</v>
      </c>
      <c r="E83" s="5" t="s">
        <v>138</v>
      </c>
      <c r="F83" s="5">
        <v>6</v>
      </c>
      <c r="G83" s="4">
        <v>14500</v>
      </c>
      <c r="H83" s="4">
        <f t="shared" si="6"/>
        <v>87000</v>
      </c>
      <c r="I83" s="4">
        <v>16000</v>
      </c>
      <c r="J83" s="4">
        <f t="shared" si="7"/>
        <v>1500</v>
      </c>
      <c r="K83" s="11">
        <f t="shared" si="8"/>
        <v>0.09375</v>
      </c>
      <c r="L83" s="5"/>
      <c r="M83" s="4">
        <f t="shared" si="9"/>
        <v>8160</v>
      </c>
      <c r="N83" s="4">
        <f t="shared" si="10"/>
        <v>87840</v>
      </c>
      <c r="O83" s="4">
        <f t="shared" si="11"/>
        <v>840</v>
      </c>
    </row>
    <row r="84" spans="1:15">
      <c r="A84" s="10">
        <v>45890</v>
      </c>
      <c r="B84" s="5">
        <v>1082</v>
      </c>
      <c r="C84" s="5" t="s">
        <v>117</v>
      </c>
      <c r="D84" s="5" t="s">
        <v>139</v>
      </c>
      <c r="E84" s="5" t="s">
        <v>48</v>
      </c>
      <c r="F84" s="5">
        <v>3</v>
      </c>
      <c r="G84" s="4">
        <v>34000</v>
      </c>
      <c r="H84" s="4">
        <f t="shared" si="6"/>
        <v>102000</v>
      </c>
      <c r="I84" s="4">
        <v>36580</v>
      </c>
      <c r="J84" s="4">
        <f t="shared" si="7"/>
        <v>2580</v>
      </c>
      <c r="K84" s="11">
        <f t="shared" si="8"/>
        <v>0.0705303444505194</v>
      </c>
      <c r="L84" s="5"/>
      <c r="M84" s="4">
        <f t="shared" si="9"/>
        <v>9327.9</v>
      </c>
      <c r="N84" s="4">
        <f t="shared" si="10"/>
        <v>100412.1</v>
      </c>
      <c r="O84" s="4">
        <f t="shared" si="11"/>
        <v>-1587.89999999999</v>
      </c>
    </row>
    <row r="85" spans="1:15">
      <c r="A85" s="10">
        <v>45891</v>
      </c>
      <c r="B85" s="5">
        <v>1083</v>
      </c>
      <c r="C85" s="5" t="s">
        <v>127</v>
      </c>
      <c r="D85" s="5" t="s">
        <v>140</v>
      </c>
      <c r="E85" s="5" t="s">
        <v>141</v>
      </c>
      <c r="F85" s="5">
        <v>2</v>
      </c>
      <c r="G85" s="4">
        <v>20000</v>
      </c>
      <c r="H85" s="4">
        <f t="shared" si="6"/>
        <v>40000</v>
      </c>
      <c r="I85" s="4">
        <v>22550</v>
      </c>
      <c r="J85" s="4">
        <f t="shared" si="7"/>
        <v>2550</v>
      </c>
      <c r="K85" s="11">
        <f t="shared" si="8"/>
        <v>0.113082039911308</v>
      </c>
      <c r="L85" s="5"/>
      <c r="M85" s="4">
        <f t="shared" si="9"/>
        <v>3833.5</v>
      </c>
      <c r="N85" s="4">
        <f t="shared" si="10"/>
        <v>41266.5</v>
      </c>
      <c r="O85" s="4">
        <f t="shared" si="11"/>
        <v>1266.5</v>
      </c>
    </row>
    <row r="86" spans="1:15">
      <c r="A86" s="10">
        <v>45892</v>
      </c>
      <c r="B86" s="5">
        <v>1084</v>
      </c>
      <c r="C86" s="5" t="s">
        <v>72</v>
      </c>
      <c r="D86" s="5" t="s">
        <v>142</v>
      </c>
      <c r="E86" s="5" t="s">
        <v>45</v>
      </c>
      <c r="F86" s="5">
        <v>3</v>
      </c>
      <c r="G86" s="4">
        <v>13000</v>
      </c>
      <c r="H86" s="4">
        <f t="shared" si="6"/>
        <v>39000</v>
      </c>
      <c r="I86" s="4">
        <v>15000</v>
      </c>
      <c r="J86" s="4">
        <f t="shared" si="7"/>
        <v>2000</v>
      </c>
      <c r="K86" s="11">
        <f t="shared" si="8"/>
        <v>0.133333333333333</v>
      </c>
      <c r="L86" s="5"/>
      <c r="M86" s="4">
        <f t="shared" si="9"/>
        <v>3825</v>
      </c>
      <c r="N86" s="4">
        <f t="shared" si="10"/>
        <v>41175</v>
      </c>
      <c r="O86" s="4">
        <f t="shared" si="11"/>
        <v>2175</v>
      </c>
    </row>
    <row r="87" spans="1:15">
      <c r="A87" s="10">
        <v>45893</v>
      </c>
      <c r="B87" s="5">
        <v>1085</v>
      </c>
      <c r="C87" s="5" t="s">
        <v>70</v>
      </c>
      <c r="D87" s="5" t="s">
        <v>143</v>
      </c>
      <c r="E87" s="5" t="s">
        <v>17</v>
      </c>
      <c r="F87" s="5">
        <v>3</v>
      </c>
      <c r="G87" s="4">
        <v>8000</v>
      </c>
      <c r="H87" s="4">
        <f t="shared" si="6"/>
        <v>24000</v>
      </c>
      <c r="I87" s="4">
        <v>10500</v>
      </c>
      <c r="J87" s="4">
        <f t="shared" si="7"/>
        <v>2500</v>
      </c>
      <c r="K87" s="11">
        <f t="shared" si="8"/>
        <v>0.238095238095238</v>
      </c>
      <c r="L87" s="5"/>
      <c r="M87" s="4">
        <f t="shared" si="9"/>
        <v>2677.5</v>
      </c>
      <c r="N87" s="4">
        <f t="shared" si="10"/>
        <v>28822.5</v>
      </c>
      <c r="O87" s="4">
        <f t="shared" si="11"/>
        <v>4822.5</v>
      </c>
    </row>
    <row r="88" spans="1:15">
      <c r="A88" s="10">
        <v>45894</v>
      </c>
      <c r="B88" s="5">
        <v>1086</v>
      </c>
      <c r="C88" s="5" t="s">
        <v>15</v>
      </c>
      <c r="D88" s="5" t="s">
        <v>144</v>
      </c>
      <c r="E88" s="5" t="s">
        <v>17</v>
      </c>
      <c r="F88" s="5">
        <v>3</v>
      </c>
      <c r="G88" s="4">
        <v>12000</v>
      </c>
      <c r="H88" s="4">
        <f t="shared" si="6"/>
        <v>36000</v>
      </c>
      <c r="I88" s="4">
        <v>14000</v>
      </c>
      <c r="J88" s="4">
        <f t="shared" si="7"/>
        <v>2000</v>
      </c>
      <c r="K88" s="11">
        <f t="shared" si="8"/>
        <v>0.142857142857143</v>
      </c>
      <c r="L88" s="5"/>
      <c r="M88" s="4">
        <f t="shared" si="9"/>
        <v>3570</v>
      </c>
      <c r="N88" s="4">
        <f t="shared" si="10"/>
        <v>38430</v>
      </c>
      <c r="O88" s="4">
        <f t="shared" si="11"/>
        <v>2430</v>
      </c>
    </row>
    <row r="89" spans="1:15">
      <c r="A89" s="10">
        <v>45895</v>
      </c>
      <c r="B89" s="5">
        <v>1087</v>
      </c>
      <c r="C89" s="5" t="s">
        <v>85</v>
      </c>
      <c r="D89" s="5" t="s">
        <v>145</v>
      </c>
      <c r="E89" s="5" t="s">
        <v>69</v>
      </c>
      <c r="F89" s="5">
        <v>2</v>
      </c>
      <c r="G89" s="4">
        <v>10000</v>
      </c>
      <c r="H89" s="4">
        <f t="shared" si="6"/>
        <v>20000</v>
      </c>
      <c r="I89" s="4">
        <v>12400</v>
      </c>
      <c r="J89" s="4">
        <f t="shared" si="7"/>
        <v>2400</v>
      </c>
      <c r="K89" s="11">
        <f t="shared" si="8"/>
        <v>0.193548387096774</v>
      </c>
      <c r="L89" s="5"/>
      <c r="M89" s="4">
        <f t="shared" si="9"/>
        <v>2108</v>
      </c>
      <c r="N89" s="4">
        <f t="shared" si="10"/>
        <v>22692</v>
      </c>
      <c r="O89" s="4">
        <f t="shared" si="11"/>
        <v>2692</v>
      </c>
    </row>
    <row r="90" spans="1:15">
      <c r="A90" s="10">
        <v>45896</v>
      </c>
      <c r="B90" s="5">
        <v>1088</v>
      </c>
      <c r="C90" s="5" t="s">
        <v>96</v>
      </c>
      <c r="D90" s="5" t="s">
        <v>146</v>
      </c>
      <c r="E90" s="5" t="s">
        <v>45</v>
      </c>
      <c r="F90" s="5">
        <v>3</v>
      </c>
      <c r="G90" s="4">
        <v>16000</v>
      </c>
      <c r="H90" s="4">
        <f t="shared" si="6"/>
        <v>48000</v>
      </c>
      <c r="I90" s="4">
        <v>17840</v>
      </c>
      <c r="J90" s="4">
        <f t="shared" si="7"/>
        <v>1840</v>
      </c>
      <c r="K90" s="11">
        <f t="shared" si="8"/>
        <v>0.103139013452915</v>
      </c>
      <c r="L90" s="5"/>
      <c r="M90" s="4">
        <f t="shared" si="9"/>
        <v>4549.2</v>
      </c>
      <c r="N90" s="4">
        <f t="shared" si="10"/>
        <v>48970.8</v>
      </c>
      <c r="O90" s="4">
        <f t="shared" si="11"/>
        <v>970.800000000003</v>
      </c>
    </row>
    <row r="91" spans="1:15">
      <c r="A91" s="10">
        <v>45897</v>
      </c>
      <c r="B91" s="5">
        <v>1089</v>
      </c>
      <c r="C91" s="5" t="s">
        <v>43</v>
      </c>
      <c r="D91" s="5" t="s">
        <v>147</v>
      </c>
      <c r="E91" s="5" t="s">
        <v>30</v>
      </c>
      <c r="F91" s="5">
        <v>2</v>
      </c>
      <c r="G91" s="4">
        <v>14000</v>
      </c>
      <c r="H91" s="4">
        <f t="shared" si="6"/>
        <v>28000</v>
      </c>
      <c r="I91" s="4">
        <v>16520</v>
      </c>
      <c r="J91" s="4">
        <f t="shared" si="7"/>
        <v>2520</v>
      </c>
      <c r="K91" s="11">
        <f t="shared" si="8"/>
        <v>0.152542372881356</v>
      </c>
      <c r="L91" s="5"/>
      <c r="M91" s="4">
        <f t="shared" si="9"/>
        <v>2808.4</v>
      </c>
      <c r="N91" s="4">
        <f t="shared" si="10"/>
        <v>30231.6</v>
      </c>
      <c r="O91" s="4">
        <f t="shared" si="11"/>
        <v>2231.6</v>
      </c>
    </row>
    <row r="92" spans="1:15">
      <c r="A92" s="10">
        <v>45898</v>
      </c>
      <c r="B92" s="5">
        <v>1090</v>
      </c>
      <c r="C92" s="5" t="s">
        <v>18</v>
      </c>
      <c r="D92" s="5" t="s">
        <v>148</v>
      </c>
      <c r="E92" s="5" t="s">
        <v>17</v>
      </c>
      <c r="F92" s="5">
        <v>3</v>
      </c>
      <c r="G92" s="4">
        <v>9000</v>
      </c>
      <c r="H92" s="4">
        <f t="shared" si="6"/>
        <v>27000</v>
      </c>
      <c r="I92" s="4">
        <v>11390</v>
      </c>
      <c r="J92" s="4">
        <f t="shared" si="7"/>
        <v>2390</v>
      </c>
      <c r="K92" s="11">
        <f t="shared" si="8"/>
        <v>0.209833187006146</v>
      </c>
      <c r="L92" s="5"/>
      <c r="M92" s="4">
        <f t="shared" si="9"/>
        <v>2904.45</v>
      </c>
      <c r="N92" s="4">
        <f t="shared" si="10"/>
        <v>31265.55</v>
      </c>
      <c r="O92" s="4">
        <f t="shared" si="11"/>
        <v>4265.55</v>
      </c>
    </row>
    <row r="93" spans="1:15">
      <c r="A93" s="10">
        <v>45899</v>
      </c>
      <c r="B93" s="5">
        <v>1091</v>
      </c>
      <c r="C93" s="5" t="s">
        <v>129</v>
      </c>
      <c r="D93" s="5" t="s">
        <v>103</v>
      </c>
      <c r="E93" s="5" t="s">
        <v>17</v>
      </c>
      <c r="F93" s="5">
        <v>2</v>
      </c>
      <c r="G93" s="4">
        <v>15000</v>
      </c>
      <c r="H93" s="4">
        <f t="shared" si="6"/>
        <v>30000</v>
      </c>
      <c r="I93" s="4">
        <v>17630</v>
      </c>
      <c r="J93" s="4">
        <f t="shared" si="7"/>
        <v>2630</v>
      </c>
      <c r="K93" s="11">
        <f t="shared" si="8"/>
        <v>0.149177538287011</v>
      </c>
      <c r="L93" s="5"/>
      <c r="M93" s="4">
        <f t="shared" si="9"/>
        <v>2997.1</v>
      </c>
      <c r="N93" s="4">
        <f t="shared" si="10"/>
        <v>32262.9</v>
      </c>
      <c r="O93" s="4">
        <f t="shared" si="11"/>
        <v>2262.9</v>
      </c>
    </row>
    <row r="94" spans="1:15">
      <c r="A94" s="10">
        <v>45900</v>
      </c>
      <c r="B94" s="5">
        <v>1092</v>
      </c>
      <c r="C94" s="5" t="s">
        <v>85</v>
      </c>
      <c r="D94" s="5" t="s">
        <v>149</v>
      </c>
      <c r="E94" s="5" t="s">
        <v>45</v>
      </c>
      <c r="F94" s="5">
        <v>3</v>
      </c>
      <c r="G94" s="4">
        <v>15500</v>
      </c>
      <c r="H94" s="4">
        <f t="shared" si="6"/>
        <v>46500</v>
      </c>
      <c r="I94" s="4">
        <v>19000</v>
      </c>
      <c r="J94" s="4">
        <f t="shared" si="7"/>
        <v>3500</v>
      </c>
      <c r="K94" s="11">
        <f t="shared" si="8"/>
        <v>0.184210526315789</v>
      </c>
      <c r="L94" s="5"/>
      <c r="M94" s="4">
        <f t="shared" si="9"/>
        <v>4845</v>
      </c>
      <c r="N94" s="4">
        <f t="shared" si="10"/>
        <v>52155</v>
      </c>
      <c r="O94" s="4">
        <f t="shared" si="11"/>
        <v>5655</v>
      </c>
    </row>
    <row r="95" spans="1:15">
      <c r="A95" s="10">
        <v>45901</v>
      </c>
      <c r="B95" s="5">
        <v>1093</v>
      </c>
      <c r="C95" s="5" t="s">
        <v>43</v>
      </c>
      <c r="D95" s="5" t="s">
        <v>150</v>
      </c>
      <c r="E95" s="5" t="s">
        <v>45</v>
      </c>
      <c r="F95" s="5">
        <v>2</v>
      </c>
      <c r="G95" s="4">
        <v>22000</v>
      </c>
      <c r="H95" s="4">
        <f t="shared" si="6"/>
        <v>44000</v>
      </c>
      <c r="I95" s="4">
        <v>24365</v>
      </c>
      <c r="J95" s="4">
        <f t="shared" si="7"/>
        <v>2365</v>
      </c>
      <c r="K95" s="11">
        <f t="shared" si="8"/>
        <v>0.0970654627539503</v>
      </c>
      <c r="L95" s="5"/>
      <c r="M95" s="4">
        <f t="shared" si="9"/>
        <v>4142.05</v>
      </c>
      <c r="N95" s="4">
        <f t="shared" si="10"/>
        <v>44587.95</v>
      </c>
      <c r="O95" s="4">
        <f t="shared" si="11"/>
        <v>587.949999999997</v>
      </c>
    </row>
    <row r="96" spans="1:15">
      <c r="A96" s="10">
        <v>45902</v>
      </c>
      <c r="B96" s="5">
        <v>1094</v>
      </c>
      <c r="C96" s="5" t="s">
        <v>15</v>
      </c>
      <c r="D96" s="5" t="s">
        <v>151</v>
      </c>
      <c r="E96" s="5" t="s">
        <v>30</v>
      </c>
      <c r="F96" s="5">
        <v>3</v>
      </c>
      <c r="G96" s="4">
        <v>23500</v>
      </c>
      <c r="H96" s="4">
        <f t="shared" si="6"/>
        <v>70500</v>
      </c>
      <c r="I96" s="4">
        <v>25000</v>
      </c>
      <c r="J96" s="4">
        <f t="shared" si="7"/>
        <v>1500</v>
      </c>
      <c r="K96" s="11">
        <f t="shared" si="8"/>
        <v>0.06</v>
      </c>
      <c r="L96" s="5"/>
      <c r="M96" s="4">
        <f t="shared" si="9"/>
        <v>6375</v>
      </c>
      <c r="N96" s="4">
        <f t="shared" si="10"/>
        <v>68625</v>
      </c>
      <c r="O96" s="4">
        <f t="shared" si="11"/>
        <v>-1875</v>
      </c>
    </row>
    <row r="97" spans="1:15">
      <c r="A97" s="10">
        <v>45903</v>
      </c>
      <c r="B97" s="5">
        <v>1095</v>
      </c>
      <c r="C97" s="5" t="s">
        <v>43</v>
      </c>
      <c r="D97" s="5" t="s">
        <v>152</v>
      </c>
      <c r="E97" s="5" t="s">
        <v>30</v>
      </c>
      <c r="F97" s="5">
        <v>2</v>
      </c>
      <c r="G97" s="4">
        <v>14000</v>
      </c>
      <c r="H97" s="4">
        <f t="shared" si="6"/>
        <v>28000</v>
      </c>
      <c r="I97" s="4">
        <v>16300</v>
      </c>
      <c r="J97" s="4">
        <f t="shared" si="7"/>
        <v>2300</v>
      </c>
      <c r="K97" s="11">
        <f t="shared" si="8"/>
        <v>0.141104294478528</v>
      </c>
      <c r="L97" s="5"/>
      <c r="M97" s="4">
        <f t="shared" si="9"/>
        <v>2771</v>
      </c>
      <c r="N97" s="4">
        <f t="shared" si="10"/>
        <v>29829</v>
      </c>
      <c r="O97" s="4">
        <f t="shared" si="11"/>
        <v>1829</v>
      </c>
    </row>
    <row r="98" spans="1:15">
      <c r="A98" s="10">
        <v>45904</v>
      </c>
      <c r="B98" s="5">
        <v>1096</v>
      </c>
      <c r="C98" s="5" t="s">
        <v>153</v>
      </c>
      <c r="D98" s="5" t="s">
        <v>154</v>
      </c>
      <c r="E98" s="5" t="s">
        <v>20</v>
      </c>
      <c r="F98" s="5">
        <v>4</v>
      </c>
      <c r="G98" s="4">
        <v>6500</v>
      </c>
      <c r="H98" s="4">
        <f t="shared" si="6"/>
        <v>26000</v>
      </c>
      <c r="I98" s="4">
        <v>8000</v>
      </c>
      <c r="J98" s="4">
        <f t="shared" si="7"/>
        <v>1500</v>
      </c>
      <c r="K98" s="11">
        <f t="shared" si="8"/>
        <v>0.1875</v>
      </c>
      <c r="L98" s="5"/>
      <c r="M98" s="4">
        <f t="shared" si="9"/>
        <v>2720</v>
      </c>
      <c r="N98" s="4">
        <f t="shared" si="10"/>
        <v>29280</v>
      </c>
      <c r="O98" s="4">
        <f t="shared" si="11"/>
        <v>3280</v>
      </c>
    </row>
    <row r="99" spans="1:15">
      <c r="A99" s="10">
        <v>45905</v>
      </c>
      <c r="B99" s="5">
        <v>1097</v>
      </c>
      <c r="C99" s="5" t="s">
        <v>70</v>
      </c>
      <c r="D99" s="5" t="s">
        <v>155</v>
      </c>
      <c r="E99" s="5" t="s">
        <v>17</v>
      </c>
      <c r="F99" s="5">
        <v>5</v>
      </c>
      <c r="G99" s="4">
        <v>13000</v>
      </c>
      <c r="H99" s="4">
        <f t="shared" si="6"/>
        <v>65000</v>
      </c>
      <c r="I99" s="4">
        <v>15000</v>
      </c>
      <c r="J99" s="4">
        <f t="shared" si="7"/>
        <v>2000</v>
      </c>
      <c r="K99" s="11">
        <f t="shared" si="8"/>
        <v>0.133333333333333</v>
      </c>
      <c r="L99" s="5"/>
      <c r="M99" s="4">
        <f t="shared" si="9"/>
        <v>6375</v>
      </c>
      <c r="N99" s="4">
        <f t="shared" si="10"/>
        <v>68625</v>
      </c>
      <c r="O99" s="4">
        <f t="shared" si="11"/>
        <v>3625</v>
      </c>
    </row>
    <row r="100" spans="1:15">
      <c r="A100" s="10">
        <v>45906</v>
      </c>
      <c r="B100" s="5">
        <v>1098</v>
      </c>
      <c r="C100" s="5" t="s">
        <v>46</v>
      </c>
      <c r="D100" s="5" t="s">
        <v>156</v>
      </c>
      <c r="E100" s="5" t="s">
        <v>17</v>
      </c>
      <c r="F100" s="5">
        <v>2</v>
      </c>
      <c r="G100" s="4">
        <v>15000</v>
      </c>
      <c r="H100" s="4">
        <f t="shared" si="6"/>
        <v>30000</v>
      </c>
      <c r="I100" s="4">
        <v>17340</v>
      </c>
      <c r="J100" s="4">
        <f t="shared" si="7"/>
        <v>2340</v>
      </c>
      <c r="K100" s="11">
        <f t="shared" si="8"/>
        <v>0.134948096885813</v>
      </c>
      <c r="L100" s="5"/>
      <c r="M100" s="4">
        <f t="shared" si="9"/>
        <v>2947.8</v>
      </c>
      <c r="N100" s="4">
        <f t="shared" si="10"/>
        <v>31732.2</v>
      </c>
      <c r="O100" s="4">
        <f t="shared" si="11"/>
        <v>1732.2</v>
      </c>
    </row>
    <row r="101" spans="1:15">
      <c r="A101" s="10">
        <v>45907</v>
      </c>
      <c r="B101" s="5">
        <v>1099</v>
      </c>
      <c r="C101" s="5" t="s">
        <v>49</v>
      </c>
      <c r="D101" s="5" t="s">
        <v>157</v>
      </c>
      <c r="E101" s="5" t="s">
        <v>69</v>
      </c>
      <c r="F101" s="5">
        <v>3</v>
      </c>
      <c r="G101" s="4">
        <v>27000</v>
      </c>
      <c r="H101" s="4">
        <f t="shared" si="6"/>
        <v>81000</v>
      </c>
      <c r="I101" s="4">
        <v>29430</v>
      </c>
      <c r="J101" s="4">
        <f t="shared" si="7"/>
        <v>2430</v>
      </c>
      <c r="K101" s="11">
        <f t="shared" si="8"/>
        <v>0.0825688073394495</v>
      </c>
      <c r="L101" s="5"/>
      <c r="M101" s="4">
        <f t="shared" si="9"/>
        <v>7504.65</v>
      </c>
      <c r="N101" s="4">
        <f t="shared" si="10"/>
        <v>80785.35</v>
      </c>
      <c r="O101" s="4">
        <f t="shared" si="11"/>
        <v>-214.649999999994</v>
      </c>
    </row>
    <row r="102" spans="1:15">
      <c r="A102" s="10">
        <v>45908</v>
      </c>
      <c r="B102" s="5">
        <v>1100</v>
      </c>
      <c r="C102" s="5" t="s">
        <v>134</v>
      </c>
      <c r="D102" s="5" t="s">
        <v>158</v>
      </c>
      <c r="E102" s="5" t="s">
        <v>17</v>
      </c>
      <c r="F102" s="5">
        <v>4</v>
      </c>
      <c r="G102" s="4">
        <v>22000</v>
      </c>
      <c r="H102" s="4">
        <f t="shared" si="6"/>
        <v>88000</v>
      </c>
      <c r="I102" s="4">
        <v>24000</v>
      </c>
      <c r="J102" s="4">
        <f t="shared" si="7"/>
        <v>2000</v>
      </c>
      <c r="K102" s="11">
        <f t="shared" si="8"/>
        <v>0.0833333333333333</v>
      </c>
      <c r="L102" s="5"/>
      <c r="M102" s="4">
        <f t="shared" si="9"/>
        <v>8160</v>
      </c>
      <c r="N102" s="4">
        <f t="shared" si="10"/>
        <v>87840</v>
      </c>
      <c r="O102" s="4">
        <f t="shared" si="11"/>
        <v>-160</v>
      </c>
    </row>
    <row r="103" spans="1:15">
      <c r="A103" s="10">
        <v>45909</v>
      </c>
      <c r="B103" s="5">
        <v>1101</v>
      </c>
      <c r="C103" s="5" t="s">
        <v>117</v>
      </c>
      <c r="D103" s="5" t="s">
        <v>159</v>
      </c>
      <c r="E103" s="5" t="s">
        <v>69</v>
      </c>
      <c r="F103" s="5">
        <v>2</v>
      </c>
      <c r="G103" s="4">
        <v>14000</v>
      </c>
      <c r="H103" s="4">
        <f t="shared" si="6"/>
        <v>28000</v>
      </c>
      <c r="I103" s="4">
        <v>18320</v>
      </c>
      <c r="J103" s="4">
        <f t="shared" si="7"/>
        <v>4320</v>
      </c>
      <c r="K103" s="11">
        <f t="shared" si="8"/>
        <v>0.235807860262009</v>
      </c>
      <c r="L103" s="5"/>
      <c r="M103" s="4">
        <f t="shared" si="9"/>
        <v>3114.4</v>
      </c>
      <c r="N103" s="4">
        <f t="shared" si="10"/>
        <v>33525.6</v>
      </c>
      <c r="O103" s="4">
        <f t="shared" si="11"/>
        <v>5525.6</v>
      </c>
    </row>
  </sheetData>
  <pageMargins left="0.7" right="0.7" top="0.75" bottom="0.75" header="0.3" footer="0.3"/>
  <pageSetup paperSize="1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0"/>
  <sheetViews>
    <sheetView zoomScale="140" zoomScaleNormal="140" workbookViewId="0">
      <selection activeCell="D26" sqref="D26"/>
    </sheetView>
  </sheetViews>
  <sheetFormatPr defaultColWidth="9" defaultRowHeight="14.4" outlineLevelCol="1"/>
  <cols>
    <col min="1" max="1" width="25.1111111111111" customWidth="1"/>
    <col min="2" max="3" width="19.7777777777778" customWidth="1"/>
  </cols>
  <sheetData>
    <row r="1" ht="15.6" spans="1:1">
      <c r="A1" s="6" t="s">
        <v>160</v>
      </c>
    </row>
    <row r="2" spans="1:2">
      <c r="A2" s="7" t="s">
        <v>161</v>
      </c>
      <c r="B2" s="8">
        <f>SUM('Sales Report'!H3:H103)</f>
        <v>4320300</v>
      </c>
    </row>
    <row r="3" spans="1:2">
      <c r="A3" s="7" t="s">
        <v>162</v>
      </c>
      <c r="B3" s="9">
        <f>COUNTA('Sales Report'!B3:B103)</f>
        <v>101</v>
      </c>
    </row>
    <row r="4" spans="1:2">
      <c r="A4" s="7" t="s">
        <v>163</v>
      </c>
      <c r="B4" s="8">
        <f>SUM('Sales Report'!J3:J103)</f>
        <v>261325</v>
      </c>
    </row>
    <row r="5" spans="1:2">
      <c r="A5" s="7" t="s">
        <v>164</v>
      </c>
      <c r="B5" s="8">
        <f>B4/B3</f>
        <v>2587.37623762376</v>
      </c>
    </row>
    <row r="6" spans="1:2">
      <c r="A6" s="7" t="s">
        <v>165</v>
      </c>
      <c r="B6" s="8">
        <f>B2/B3</f>
        <v>42775.2475247525</v>
      </c>
    </row>
    <row r="7" spans="1:2">
      <c r="A7" s="7" t="s">
        <v>166</v>
      </c>
      <c r="B7" t="str">
        <f>INDEX('Sales Report'!D3:D103,MATCH(MAX('Sales Report'!F3:F103),'Sales Report'!F3:F103,0))</f>
        <v>Uncover Vit C Sheet Mask</v>
      </c>
    </row>
    <row r="8" spans="1:2">
      <c r="A8" s="7" t="s">
        <v>167</v>
      </c>
      <c r="B8" t="str">
        <f>INDEX('Sales Report'!D3:D103,MATCH(MIN('Sales Report'!F3:F103),'Sales Report'!F3:F103,0))</f>
        <v>Night Renewal Cream</v>
      </c>
    </row>
    <row r="9" spans="1:2">
      <c r="A9" s="7" t="s">
        <v>168</v>
      </c>
      <c r="B9" t="str">
        <f>INDEX('Sales Report'!C3:C103,MATCH(MAX('Sales Report'!N3:N103),'Sales Report'!N3:N103,0))</f>
        <v>Port Harcourt</v>
      </c>
    </row>
    <row r="10" spans="1:2">
      <c r="A10" s="7" t="s">
        <v>169</v>
      </c>
      <c r="B10" t="str">
        <f>INDEX('Sales Report'!C3:C103,MATCH(MIN('Sales Report'!N3:N103),'Sales Report'!N3:N103,0))</f>
        <v>Abuja</v>
      </c>
    </row>
  </sheetData>
  <pageMargins left="0.7" right="0.7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104"/>
  <sheetViews>
    <sheetView topLeftCell="C1" workbookViewId="0">
      <selection activeCell="E29" sqref="E29"/>
    </sheetView>
  </sheetViews>
  <sheetFormatPr defaultColWidth="9" defaultRowHeight="14.4"/>
  <cols>
    <col min="1" max="1" width="12.6666666666667" customWidth="1"/>
    <col min="2" max="2" width="18.4444444444444" customWidth="1"/>
    <col min="4" max="4" width="23.6666666666667" customWidth="1"/>
    <col min="5" max="6" width="19.1111111111111" customWidth="1"/>
    <col min="9" max="9" width="28.2222222222222" customWidth="1"/>
    <col min="10" max="10" width="12.1111111111111" customWidth="1"/>
    <col min="12" max="12" width="24.8888888888889" customWidth="1"/>
    <col min="13" max="13" width="18.4444444444444" customWidth="1"/>
    <col min="14" max="14" width="17.3333333333333" customWidth="1"/>
  </cols>
  <sheetData>
    <row r="1" ht="18" spans="1:13">
      <c r="A1" s="2" t="s">
        <v>170</v>
      </c>
      <c r="E1" s="2" t="s">
        <v>171</v>
      </c>
      <c r="I1" s="2" t="s">
        <v>172</v>
      </c>
      <c r="M1" s="2" t="s">
        <v>173</v>
      </c>
    </row>
    <row r="2" spans="1:6">
      <c r="A2" t="s">
        <v>174</v>
      </c>
      <c r="B2" t="s">
        <v>175</v>
      </c>
      <c r="E2" t="s">
        <v>174</v>
      </c>
      <c r="F2" t="s">
        <v>176</v>
      </c>
    </row>
    <row r="3" spans="1:14">
      <c r="A3" s="3" t="s">
        <v>92</v>
      </c>
      <c r="B3" s="4">
        <v>20770.5</v>
      </c>
      <c r="E3" s="3" t="s">
        <v>138</v>
      </c>
      <c r="F3" s="5">
        <v>6</v>
      </c>
      <c r="I3" t="s">
        <v>174</v>
      </c>
      <c r="J3" t="s">
        <v>177</v>
      </c>
      <c r="M3" t="s">
        <v>174</v>
      </c>
      <c r="N3" t="s">
        <v>178</v>
      </c>
    </row>
    <row r="4" spans="1:14">
      <c r="A4" s="3" t="s">
        <v>21</v>
      </c>
      <c r="B4" s="4">
        <v>96532.5</v>
      </c>
      <c r="E4" s="3" t="s">
        <v>81</v>
      </c>
      <c r="F4" s="5">
        <v>8</v>
      </c>
      <c r="I4" s="3" t="s">
        <v>35</v>
      </c>
      <c r="J4" s="4">
        <v>3000</v>
      </c>
      <c r="M4" s="3" t="s">
        <v>138</v>
      </c>
      <c r="N4" s="4">
        <v>840</v>
      </c>
    </row>
    <row r="5" spans="1:14">
      <c r="A5" s="3" t="s">
        <v>87</v>
      </c>
      <c r="B5" s="4">
        <v>107970</v>
      </c>
      <c r="E5" s="3" t="s">
        <v>69</v>
      </c>
      <c r="F5" s="5">
        <v>38</v>
      </c>
      <c r="I5" s="3" t="s">
        <v>125</v>
      </c>
      <c r="J5" s="4">
        <v>1900</v>
      </c>
      <c r="M5" s="3" t="s">
        <v>81</v>
      </c>
      <c r="N5" s="4">
        <v>11510</v>
      </c>
    </row>
    <row r="6" spans="1:14">
      <c r="A6" s="3" t="s">
        <v>40</v>
      </c>
      <c r="B6" s="4">
        <v>59292</v>
      </c>
      <c r="E6" s="3" t="s">
        <v>58</v>
      </c>
      <c r="F6" s="5">
        <v>11</v>
      </c>
      <c r="I6" s="3" t="s">
        <v>113</v>
      </c>
      <c r="J6" s="4">
        <v>2350</v>
      </c>
      <c r="M6" s="3" t="s">
        <v>69</v>
      </c>
      <c r="N6" s="4">
        <v>52747</v>
      </c>
    </row>
    <row r="7" spans="1:14">
      <c r="A7" s="3" t="s">
        <v>37</v>
      </c>
      <c r="B7" s="4">
        <v>144570</v>
      </c>
      <c r="E7" s="3" t="s">
        <v>48</v>
      </c>
      <c r="F7" s="5">
        <v>25</v>
      </c>
      <c r="I7" s="3" t="s">
        <v>131</v>
      </c>
      <c r="J7" s="4">
        <v>2000</v>
      </c>
      <c r="M7" s="3" t="s">
        <v>58</v>
      </c>
      <c r="N7" s="4">
        <v>17806.75</v>
      </c>
    </row>
    <row r="8" spans="1:14">
      <c r="A8" s="3" t="s">
        <v>51</v>
      </c>
      <c r="B8" s="4">
        <v>36600</v>
      </c>
      <c r="E8" s="3" t="s">
        <v>23</v>
      </c>
      <c r="F8" s="5">
        <v>3</v>
      </c>
      <c r="I8" s="3" t="s">
        <v>32</v>
      </c>
      <c r="J8" s="4">
        <v>3000</v>
      </c>
      <c r="M8" s="3" t="s">
        <v>48</v>
      </c>
      <c r="N8" s="4">
        <v>20717.1</v>
      </c>
    </row>
    <row r="9" spans="1:14">
      <c r="A9" s="3" t="s">
        <v>31</v>
      </c>
      <c r="B9" s="4">
        <v>41175</v>
      </c>
      <c r="E9" s="3" t="s">
        <v>75</v>
      </c>
      <c r="F9" s="5">
        <v>3</v>
      </c>
      <c r="I9" s="3" t="s">
        <v>76</v>
      </c>
      <c r="J9" s="4">
        <v>2500</v>
      </c>
      <c r="M9" s="3" t="s">
        <v>23</v>
      </c>
      <c r="N9" s="4">
        <v>4312.5</v>
      </c>
    </row>
    <row r="10" spans="1:14">
      <c r="A10" s="3" t="s">
        <v>72</v>
      </c>
      <c r="B10" s="4">
        <v>283192.5</v>
      </c>
      <c r="E10" s="3" t="s">
        <v>33</v>
      </c>
      <c r="F10" s="5">
        <v>9</v>
      </c>
      <c r="I10" s="3" t="s">
        <v>71</v>
      </c>
      <c r="J10" s="4">
        <v>2500</v>
      </c>
      <c r="M10" s="3" t="s">
        <v>75</v>
      </c>
      <c r="N10" s="4">
        <v>4440</v>
      </c>
    </row>
    <row r="11" spans="1:14">
      <c r="A11" s="3" t="s">
        <v>18</v>
      </c>
      <c r="B11" s="4">
        <v>123589.05</v>
      </c>
      <c r="E11" s="3" t="s">
        <v>141</v>
      </c>
      <c r="F11" s="5">
        <v>2</v>
      </c>
      <c r="I11" s="3" t="s">
        <v>65</v>
      </c>
      <c r="J11" s="4">
        <v>1000</v>
      </c>
      <c r="M11" s="3" t="s">
        <v>33</v>
      </c>
      <c r="N11" s="4">
        <v>13267</v>
      </c>
    </row>
    <row r="12" spans="1:14">
      <c r="A12" s="3" t="s">
        <v>53</v>
      </c>
      <c r="B12" s="4">
        <v>286834.2</v>
      </c>
      <c r="E12" s="3" t="s">
        <v>17</v>
      </c>
      <c r="F12" s="5">
        <v>71</v>
      </c>
      <c r="I12" s="3" t="s">
        <v>77</v>
      </c>
      <c r="J12" s="4">
        <v>3000</v>
      </c>
      <c r="M12" s="3" t="s">
        <v>141</v>
      </c>
      <c r="N12" s="4">
        <v>1266.5</v>
      </c>
    </row>
    <row r="13" spans="1:14">
      <c r="A13" s="3" t="s">
        <v>46</v>
      </c>
      <c r="B13" s="4">
        <v>201418.95</v>
      </c>
      <c r="E13" s="3" t="s">
        <v>45</v>
      </c>
      <c r="F13" s="5">
        <v>37</v>
      </c>
      <c r="I13" s="3" t="s">
        <v>144</v>
      </c>
      <c r="J13" s="4">
        <v>2000</v>
      </c>
      <c r="M13" s="3" t="s">
        <v>17</v>
      </c>
      <c r="N13" s="4">
        <v>65151.15</v>
      </c>
    </row>
    <row r="14" spans="1:14">
      <c r="A14" s="3" t="s">
        <v>105</v>
      </c>
      <c r="B14" s="4">
        <v>131503.8</v>
      </c>
      <c r="E14" s="3" t="s">
        <v>42</v>
      </c>
      <c r="F14" s="5">
        <v>4</v>
      </c>
      <c r="I14" s="3" t="s">
        <v>91</v>
      </c>
      <c r="J14" s="4">
        <v>2500</v>
      </c>
      <c r="M14" s="3" t="s">
        <v>45</v>
      </c>
      <c r="N14" s="4">
        <v>37136.25</v>
      </c>
    </row>
    <row r="15" spans="1:14">
      <c r="A15" s="3" t="s">
        <v>129</v>
      </c>
      <c r="B15" s="4">
        <v>71973.9</v>
      </c>
      <c r="E15" s="3" t="s">
        <v>20</v>
      </c>
      <c r="F15" s="5">
        <v>13</v>
      </c>
      <c r="I15" s="3" t="s">
        <v>148</v>
      </c>
      <c r="J15" s="4">
        <v>2390</v>
      </c>
      <c r="M15" s="3" t="s">
        <v>42</v>
      </c>
      <c r="N15" s="4">
        <v>592</v>
      </c>
    </row>
    <row r="16" spans="1:14">
      <c r="A16" s="3" t="s">
        <v>96</v>
      </c>
      <c r="B16" s="4">
        <v>187501.8</v>
      </c>
      <c r="E16" s="3" t="s">
        <v>95</v>
      </c>
      <c r="F16" s="5">
        <v>7</v>
      </c>
      <c r="I16" s="3" t="s">
        <v>83</v>
      </c>
      <c r="J16" s="4">
        <v>2500</v>
      </c>
      <c r="M16" s="3" t="s">
        <v>20</v>
      </c>
      <c r="N16" s="4">
        <v>15380</v>
      </c>
    </row>
    <row r="17" spans="1:14">
      <c r="A17" s="3" t="s">
        <v>127</v>
      </c>
      <c r="B17" s="4">
        <v>110989.5</v>
      </c>
      <c r="E17" s="3" t="s">
        <v>39</v>
      </c>
      <c r="F17" s="5">
        <v>9</v>
      </c>
      <c r="I17" s="3" t="s">
        <v>103</v>
      </c>
      <c r="J17" s="4">
        <v>7130</v>
      </c>
      <c r="M17" s="3" t="s">
        <v>95</v>
      </c>
      <c r="N17" s="4">
        <v>14913.5</v>
      </c>
    </row>
    <row r="18" spans="1:14">
      <c r="A18" s="3" t="s">
        <v>117</v>
      </c>
      <c r="B18" s="4">
        <v>175112.7</v>
      </c>
      <c r="E18" s="3" t="s">
        <v>30</v>
      </c>
      <c r="F18" s="5">
        <v>36</v>
      </c>
      <c r="I18" s="3" t="s">
        <v>59</v>
      </c>
      <c r="J18" s="4">
        <v>2700</v>
      </c>
      <c r="M18" s="3" t="s">
        <v>39</v>
      </c>
      <c r="N18" s="4">
        <v>12637.9</v>
      </c>
    </row>
    <row r="19" spans="1:14">
      <c r="A19" s="3" t="s">
        <v>85</v>
      </c>
      <c r="B19" s="4">
        <v>268149.9</v>
      </c>
      <c r="E19" s="3" t="s">
        <v>36</v>
      </c>
      <c r="F19" s="5">
        <v>2</v>
      </c>
      <c r="I19" s="3" t="s">
        <v>139</v>
      </c>
      <c r="J19" s="4">
        <v>2580</v>
      </c>
      <c r="M19" s="3" t="s">
        <v>30</v>
      </c>
      <c r="N19" s="4">
        <v>24367.6</v>
      </c>
    </row>
    <row r="20" spans="1:14">
      <c r="A20" s="3" t="s">
        <v>28</v>
      </c>
      <c r="B20" s="4">
        <v>16012.5</v>
      </c>
      <c r="E20" s="3" t="s">
        <v>179</v>
      </c>
      <c r="F20" s="5"/>
      <c r="I20" s="3" t="s">
        <v>112</v>
      </c>
      <c r="J20" s="4">
        <v>3420</v>
      </c>
      <c r="M20" s="3" t="s">
        <v>36</v>
      </c>
      <c r="N20" s="4">
        <v>2770</v>
      </c>
    </row>
    <row r="21" spans="1:14">
      <c r="A21" s="3" t="s">
        <v>49</v>
      </c>
      <c r="B21" s="4">
        <v>353455.35</v>
      </c>
      <c r="E21" s="3" t="s">
        <v>180</v>
      </c>
      <c r="F21" s="5">
        <v>284</v>
      </c>
      <c r="I21" s="3" t="s">
        <v>151</v>
      </c>
      <c r="J21" s="4">
        <v>1500</v>
      </c>
      <c r="M21" s="3" t="s">
        <v>179</v>
      </c>
      <c r="N21" s="4"/>
    </row>
    <row r="22" spans="1:14">
      <c r="A22" s="3" t="s">
        <v>15</v>
      </c>
      <c r="B22" s="4">
        <v>329555.55</v>
      </c>
      <c r="I22" s="3" t="s">
        <v>150</v>
      </c>
      <c r="J22" s="4">
        <v>2365</v>
      </c>
      <c r="M22" s="3" t="s">
        <v>180</v>
      </c>
      <c r="N22" s="4">
        <v>299855.25</v>
      </c>
    </row>
    <row r="23" spans="1:10">
      <c r="A23" s="3" t="s">
        <v>56</v>
      </c>
      <c r="B23" s="4">
        <v>23790</v>
      </c>
      <c r="I23" s="3" t="s">
        <v>99</v>
      </c>
      <c r="J23" s="4">
        <v>2500</v>
      </c>
    </row>
    <row r="24" ht="18" spans="1:10">
      <c r="A24" s="3" t="s">
        <v>43</v>
      </c>
      <c r="B24" s="4">
        <v>545404.05</v>
      </c>
      <c r="D24" s="2" t="s">
        <v>181</v>
      </c>
      <c r="I24" s="3" t="s">
        <v>19</v>
      </c>
      <c r="J24" s="4">
        <v>3000</v>
      </c>
    </row>
    <row r="25" ht="18" spans="1:12">
      <c r="A25" s="3" t="s">
        <v>67</v>
      </c>
      <c r="B25" s="4">
        <v>259402.5</v>
      </c>
      <c r="I25" s="3" t="s">
        <v>66</v>
      </c>
      <c r="J25" s="4">
        <v>3000</v>
      </c>
      <c r="L25" s="2" t="s">
        <v>182</v>
      </c>
    </row>
    <row r="26" spans="1:10">
      <c r="A26" s="3" t="s">
        <v>26</v>
      </c>
      <c r="B26" s="4">
        <v>192150</v>
      </c>
      <c r="D26" t="s">
        <v>174</v>
      </c>
      <c r="E26" t="s">
        <v>176</v>
      </c>
      <c r="I26" s="3" t="s">
        <v>158</v>
      </c>
      <c r="J26" s="4">
        <v>2000</v>
      </c>
    </row>
    <row r="27" spans="1:13">
      <c r="A27" s="3" t="s">
        <v>134</v>
      </c>
      <c r="B27" s="4">
        <v>110623.5</v>
      </c>
      <c r="D27" s="3" t="s">
        <v>103</v>
      </c>
      <c r="E27" s="5">
        <v>5</v>
      </c>
      <c r="I27" s="3" t="s">
        <v>142</v>
      </c>
      <c r="J27" s="4">
        <v>2000</v>
      </c>
      <c r="L27" t="s">
        <v>174</v>
      </c>
      <c r="M27" t="s">
        <v>175</v>
      </c>
    </row>
    <row r="28" spans="1:13">
      <c r="A28" s="3" t="s">
        <v>70</v>
      </c>
      <c r="B28" s="4">
        <v>272670</v>
      </c>
      <c r="D28" s="3" t="s">
        <v>73</v>
      </c>
      <c r="E28" s="5">
        <v>5</v>
      </c>
      <c r="I28" s="3" t="s">
        <v>140</v>
      </c>
      <c r="J28" s="4">
        <v>2550</v>
      </c>
      <c r="L28" s="3" t="s">
        <v>179</v>
      </c>
      <c r="M28" s="5"/>
    </row>
    <row r="29" spans="1:13">
      <c r="A29" s="3" t="s">
        <v>153</v>
      </c>
      <c r="B29" s="4">
        <v>29280</v>
      </c>
      <c r="D29" s="3" t="s">
        <v>80</v>
      </c>
      <c r="E29" s="5">
        <v>5</v>
      </c>
      <c r="I29" s="3" t="s">
        <v>120</v>
      </c>
      <c r="J29" s="4">
        <v>3410</v>
      </c>
      <c r="L29" s="3" t="s">
        <v>41</v>
      </c>
      <c r="M29" s="5">
        <v>4392</v>
      </c>
    </row>
    <row r="30" spans="1:13">
      <c r="A30" s="3" t="s">
        <v>34</v>
      </c>
      <c r="B30" s="4">
        <v>66520.5</v>
      </c>
      <c r="D30" s="3" t="s">
        <v>63</v>
      </c>
      <c r="E30" s="5">
        <v>5</v>
      </c>
      <c r="I30" s="3" t="s">
        <v>50</v>
      </c>
      <c r="J30" s="4">
        <v>3000</v>
      </c>
      <c r="L30" s="3" t="s">
        <v>55</v>
      </c>
      <c r="M30" s="5">
        <v>12810</v>
      </c>
    </row>
    <row r="31" spans="1:13">
      <c r="A31" s="3" t="s">
        <v>24</v>
      </c>
      <c r="B31" s="4">
        <v>74115</v>
      </c>
      <c r="D31" s="3" t="s">
        <v>82</v>
      </c>
      <c r="E31" s="5">
        <v>6</v>
      </c>
      <c r="I31" s="3" t="s">
        <v>88</v>
      </c>
      <c r="J31" s="4">
        <v>2500</v>
      </c>
      <c r="L31" s="3" t="s">
        <v>44</v>
      </c>
      <c r="M31" s="5">
        <v>15555</v>
      </c>
    </row>
    <row r="32" spans="1:13">
      <c r="A32" s="3" t="s">
        <v>179</v>
      </c>
      <c r="B32" s="4"/>
      <c r="D32" s="3" t="s">
        <v>155</v>
      </c>
      <c r="E32" s="5">
        <v>5</v>
      </c>
      <c r="I32" s="3" t="s">
        <v>143</v>
      </c>
      <c r="J32" s="4">
        <v>2500</v>
      </c>
      <c r="L32" s="3" t="s">
        <v>29</v>
      </c>
      <c r="M32" s="5">
        <v>16012.5</v>
      </c>
    </row>
    <row r="33" spans="1:13">
      <c r="A33" s="3" t="s">
        <v>180</v>
      </c>
      <c r="B33" s="4">
        <v>4620155.25</v>
      </c>
      <c r="D33" s="3" t="s">
        <v>137</v>
      </c>
      <c r="E33" s="5">
        <v>6</v>
      </c>
      <c r="I33" s="3" t="s">
        <v>38</v>
      </c>
      <c r="J33" s="4">
        <v>2000</v>
      </c>
      <c r="L33" s="3" t="s">
        <v>16</v>
      </c>
      <c r="M33" s="5">
        <v>16470</v>
      </c>
    </row>
    <row r="34" spans="4:13">
      <c r="D34" s="3" t="s">
        <v>94</v>
      </c>
      <c r="E34" s="5">
        <v>7</v>
      </c>
      <c r="I34" s="3" t="s">
        <v>52</v>
      </c>
      <c r="J34" s="4">
        <v>3000</v>
      </c>
      <c r="L34" s="3" t="s">
        <v>180</v>
      </c>
      <c r="M34" s="5">
        <v>65239.5</v>
      </c>
    </row>
    <row r="35" spans="4:10">
      <c r="D35" s="3" t="s">
        <v>180</v>
      </c>
      <c r="E35" s="5">
        <v>44</v>
      </c>
      <c r="I35" s="3" t="s">
        <v>57</v>
      </c>
      <c r="J35" s="4">
        <v>1500</v>
      </c>
    </row>
    <row r="36" spans="9:10">
      <c r="I36" s="3" t="s">
        <v>123</v>
      </c>
      <c r="J36" s="4">
        <v>3300</v>
      </c>
    </row>
    <row r="37" spans="9:10">
      <c r="I37" s="3" t="s">
        <v>133</v>
      </c>
      <c r="J37" s="4">
        <v>3150</v>
      </c>
    </row>
    <row r="38" spans="9:10">
      <c r="I38" s="3" t="s">
        <v>106</v>
      </c>
      <c r="J38" s="4">
        <v>3700</v>
      </c>
    </row>
    <row r="39" spans="9:10">
      <c r="I39" s="3" t="s">
        <v>121</v>
      </c>
      <c r="J39" s="4">
        <v>2500</v>
      </c>
    </row>
    <row r="40" spans="9:10">
      <c r="I40" s="3" t="s">
        <v>64</v>
      </c>
      <c r="J40" s="4">
        <v>3000</v>
      </c>
    </row>
    <row r="41" spans="9:10">
      <c r="I41" s="3" t="s">
        <v>145</v>
      </c>
      <c r="J41" s="4">
        <v>2400</v>
      </c>
    </row>
    <row r="42" spans="9:10">
      <c r="I42" s="3" t="s">
        <v>93</v>
      </c>
      <c r="J42" s="4">
        <v>2700</v>
      </c>
    </row>
    <row r="43" spans="9:10">
      <c r="I43" s="3" t="s">
        <v>90</v>
      </c>
      <c r="J43" s="4">
        <v>3000</v>
      </c>
    </row>
    <row r="44" spans="9:10">
      <c r="I44" s="3" t="s">
        <v>22</v>
      </c>
      <c r="J44" s="4">
        <v>2500</v>
      </c>
    </row>
    <row r="45" spans="9:10">
      <c r="I45" s="3" t="s">
        <v>102</v>
      </c>
      <c r="J45" s="4">
        <v>2000</v>
      </c>
    </row>
    <row r="46" spans="9:10">
      <c r="I46" s="3" t="s">
        <v>122</v>
      </c>
      <c r="J46" s="4">
        <v>3000</v>
      </c>
    </row>
    <row r="47" spans="9:10">
      <c r="I47" s="3" t="s">
        <v>98</v>
      </c>
      <c r="J47" s="4">
        <v>3000</v>
      </c>
    </row>
    <row r="48" spans="9:10">
      <c r="I48" s="3" t="s">
        <v>73</v>
      </c>
      <c r="J48" s="4">
        <v>2000</v>
      </c>
    </row>
    <row r="49" spans="9:10">
      <c r="I49" s="3" t="s">
        <v>16</v>
      </c>
      <c r="J49" s="4">
        <v>1500</v>
      </c>
    </row>
    <row r="50" spans="9:10">
      <c r="I50" s="3" t="s">
        <v>157</v>
      </c>
      <c r="J50" s="4">
        <v>2430</v>
      </c>
    </row>
    <row r="51" spans="9:10">
      <c r="I51" s="3" t="s">
        <v>55</v>
      </c>
      <c r="J51" s="4">
        <v>2400</v>
      </c>
    </row>
    <row r="52" spans="9:10">
      <c r="I52" s="3" t="s">
        <v>108</v>
      </c>
      <c r="J52" s="4">
        <v>3400</v>
      </c>
    </row>
    <row r="53" spans="9:10">
      <c r="I53" s="3" t="s">
        <v>154</v>
      </c>
      <c r="J53" s="4">
        <v>1500</v>
      </c>
    </row>
    <row r="54" spans="9:10">
      <c r="I54" s="3" t="s">
        <v>80</v>
      </c>
      <c r="J54" s="4">
        <v>3000</v>
      </c>
    </row>
    <row r="55" spans="9:10">
      <c r="I55" s="3" t="s">
        <v>124</v>
      </c>
      <c r="J55" s="4">
        <v>2600</v>
      </c>
    </row>
    <row r="56" spans="9:10">
      <c r="I56" s="3" t="s">
        <v>126</v>
      </c>
      <c r="J56" s="4">
        <v>3000</v>
      </c>
    </row>
    <row r="57" spans="9:10">
      <c r="I57" s="3" t="s">
        <v>41</v>
      </c>
      <c r="J57" s="4">
        <v>250</v>
      </c>
    </row>
    <row r="58" spans="9:10">
      <c r="I58" s="3" t="s">
        <v>74</v>
      </c>
      <c r="J58" s="4">
        <v>4000</v>
      </c>
    </row>
    <row r="59" spans="9:10">
      <c r="I59" s="3" t="s">
        <v>132</v>
      </c>
      <c r="J59" s="4">
        <v>1900</v>
      </c>
    </row>
    <row r="60" spans="9:10">
      <c r="I60" s="3" t="s">
        <v>110</v>
      </c>
      <c r="J60" s="4">
        <v>4450</v>
      </c>
    </row>
    <row r="61" spans="9:10">
      <c r="I61" s="3" t="s">
        <v>111</v>
      </c>
      <c r="J61" s="4">
        <v>3560</v>
      </c>
    </row>
    <row r="62" spans="9:10">
      <c r="I62" s="3" t="s">
        <v>63</v>
      </c>
      <c r="J62" s="4">
        <v>3500</v>
      </c>
    </row>
    <row r="63" spans="9:10">
      <c r="I63" s="3" t="s">
        <v>68</v>
      </c>
      <c r="J63" s="4">
        <v>2500</v>
      </c>
    </row>
    <row r="64" spans="9:10">
      <c r="I64" s="3" t="s">
        <v>149</v>
      </c>
      <c r="J64" s="4">
        <v>3500</v>
      </c>
    </row>
    <row r="65" spans="9:10">
      <c r="I65" s="3" t="s">
        <v>27</v>
      </c>
      <c r="J65" s="4">
        <v>4000</v>
      </c>
    </row>
    <row r="66" spans="9:10">
      <c r="I66" s="3" t="s">
        <v>152</v>
      </c>
      <c r="J66" s="4">
        <v>2300</v>
      </c>
    </row>
    <row r="67" spans="9:10">
      <c r="I67" s="3" t="s">
        <v>156</v>
      </c>
      <c r="J67" s="4">
        <v>2340</v>
      </c>
    </row>
    <row r="68" spans="9:10">
      <c r="I68" s="3" t="s">
        <v>135</v>
      </c>
      <c r="J68" s="4">
        <v>2300</v>
      </c>
    </row>
    <row r="69" spans="9:10">
      <c r="I69" s="3" t="s">
        <v>79</v>
      </c>
      <c r="J69" s="4">
        <v>3000</v>
      </c>
    </row>
    <row r="70" spans="9:10">
      <c r="I70" s="3" t="s">
        <v>89</v>
      </c>
      <c r="J70" s="4">
        <v>3500</v>
      </c>
    </row>
    <row r="71" spans="9:10">
      <c r="I71" s="3" t="s">
        <v>115</v>
      </c>
      <c r="J71" s="4">
        <v>3000</v>
      </c>
    </row>
    <row r="72" spans="9:10">
      <c r="I72" s="3" t="s">
        <v>82</v>
      </c>
      <c r="J72" s="4">
        <v>2500</v>
      </c>
    </row>
    <row r="73" spans="9:10">
      <c r="I73" s="3" t="s">
        <v>114</v>
      </c>
      <c r="J73" s="4">
        <v>3320</v>
      </c>
    </row>
    <row r="74" spans="9:10">
      <c r="I74" s="3" t="s">
        <v>109</v>
      </c>
      <c r="J74" s="4">
        <v>2900</v>
      </c>
    </row>
    <row r="75" spans="9:10">
      <c r="I75" s="3" t="s">
        <v>104</v>
      </c>
      <c r="J75" s="4">
        <v>2000</v>
      </c>
    </row>
    <row r="76" spans="9:10">
      <c r="I76" s="3" t="s">
        <v>100</v>
      </c>
      <c r="J76" s="4">
        <v>4000</v>
      </c>
    </row>
    <row r="77" spans="9:10">
      <c r="I77" s="3" t="s">
        <v>86</v>
      </c>
      <c r="J77" s="4">
        <v>1500</v>
      </c>
    </row>
    <row r="78" spans="9:10">
      <c r="I78" s="3" t="s">
        <v>136</v>
      </c>
      <c r="J78" s="4">
        <v>3000</v>
      </c>
    </row>
    <row r="79" spans="9:10">
      <c r="I79" s="3" t="s">
        <v>62</v>
      </c>
      <c r="J79" s="4">
        <v>3000</v>
      </c>
    </row>
    <row r="80" spans="9:10">
      <c r="I80" s="3" t="s">
        <v>97</v>
      </c>
      <c r="J80" s="4">
        <v>2300</v>
      </c>
    </row>
    <row r="81" spans="9:10">
      <c r="I81" s="3" t="s">
        <v>29</v>
      </c>
      <c r="J81" s="4">
        <v>2500</v>
      </c>
    </row>
    <row r="82" spans="9:10">
      <c r="I82" s="3" t="s">
        <v>155</v>
      </c>
      <c r="J82" s="4">
        <v>2000</v>
      </c>
    </row>
    <row r="83" spans="9:10">
      <c r="I83" s="3" t="s">
        <v>159</v>
      </c>
      <c r="J83" s="4">
        <v>4320</v>
      </c>
    </row>
    <row r="84" spans="9:10">
      <c r="I84" s="3" t="s">
        <v>78</v>
      </c>
      <c r="J84" s="4">
        <v>2000</v>
      </c>
    </row>
    <row r="85" spans="9:10">
      <c r="I85" s="3" t="s">
        <v>84</v>
      </c>
      <c r="J85" s="4">
        <v>2500</v>
      </c>
    </row>
    <row r="86" spans="9:10">
      <c r="I86" s="3" t="s">
        <v>44</v>
      </c>
      <c r="J86" s="4">
        <v>2500</v>
      </c>
    </row>
    <row r="87" spans="9:10">
      <c r="I87" s="3" t="s">
        <v>60</v>
      </c>
      <c r="J87" s="4">
        <v>2000</v>
      </c>
    </row>
    <row r="88" spans="9:10">
      <c r="I88" s="3" t="s">
        <v>54</v>
      </c>
      <c r="J88" s="4">
        <v>3500</v>
      </c>
    </row>
    <row r="89" spans="9:10">
      <c r="I89" s="3" t="s">
        <v>47</v>
      </c>
      <c r="J89" s="4">
        <v>2500</v>
      </c>
    </row>
    <row r="90" spans="9:10">
      <c r="I90" s="3" t="s">
        <v>118</v>
      </c>
      <c r="J90" s="4">
        <v>3500</v>
      </c>
    </row>
    <row r="91" spans="9:10">
      <c r="I91" s="3" t="s">
        <v>61</v>
      </c>
      <c r="J91" s="4">
        <v>3000</v>
      </c>
    </row>
    <row r="92" spans="9:10">
      <c r="I92" s="3" t="s">
        <v>101</v>
      </c>
      <c r="J92" s="4">
        <v>2500</v>
      </c>
    </row>
    <row r="93" spans="9:10">
      <c r="I93" s="3" t="s">
        <v>130</v>
      </c>
      <c r="J93" s="4">
        <v>1700</v>
      </c>
    </row>
    <row r="94" spans="9:10">
      <c r="I94" s="3" t="s">
        <v>128</v>
      </c>
      <c r="J94" s="4">
        <v>2400</v>
      </c>
    </row>
    <row r="95" spans="9:10">
      <c r="I95" s="3" t="s">
        <v>146</v>
      </c>
      <c r="J95" s="4">
        <v>1840</v>
      </c>
    </row>
    <row r="96" spans="9:10">
      <c r="I96" s="3" t="s">
        <v>137</v>
      </c>
      <c r="J96" s="4">
        <v>1500</v>
      </c>
    </row>
    <row r="97" spans="9:10">
      <c r="I97" s="3" t="s">
        <v>94</v>
      </c>
      <c r="J97" s="4">
        <v>2700</v>
      </c>
    </row>
    <row r="98" spans="9:10">
      <c r="I98" s="3" t="s">
        <v>116</v>
      </c>
      <c r="J98" s="4">
        <v>1750</v>
      </c>
    </row>
    <row r="99" spans="9:10">
      <c r="I99" s="3" t="s">
        <v>107</v>
      </c>
      <c r="J99" s="4">
        <v>2600</v>
      </c>
    </row>
    <row r="100" spans="9:10">
      <c r="I100" s="3" t="s">
        <v>119</v>
      </c>
      <c r="J100" s="4">
        <v>1500</v>
      </c>
    </row>
    <row r="101" spans="9:10">
      <c r="I101" s="3" t="s">
        <v>25</v>
      </c>
      <c r="J101" s="4">
        <v>2000</v>
      </c>
    </row>
    <row r="102" spans="9:10">
      <c r="I102" s="3" t="s">
        <v>147</v>
      </c>
      <c r="J102" s="4">
        <v>2520</v>
      </c>
    </row>
    <row r="103" spans="9:10">
      <c r="I103" s="3" t="s">
        <v>179</v>
      </c>
      <c r="J103" s="4"/>
    </row>
    <row r="104" spans="9:10">
      <c r="I104" s="3" t="s">
        <v>180</v>
      </c>
      <c r="J104" s="4">
        <v>261325</v>
      </c>
    </row>
  </sheetData>
  <pageMargins left="0.7" right="0.7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F46"/>
  <sheetViews>
    <sheetView showGridLines="0" tabSelected="1" zoomScale="88" zoomScaleNormal="88" workbookViewId="0">
      <selection activeCell="Z46" sqref="Z46"/>
    </sheetView>
  </sheetViews>
  <sheetFormatPr defaultColWidth="9" defaultRowHeight="14.4"/>
  <sheetData>
    <row r="1" spans="1:3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</sheetData>
  <pageMargins left="0.7" right="0.7" top="0.75" bottom="0.75" header="0.3" footer="0.3"/>
  <pageSetup paperSize="1" orientation="portrait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133664-444D-46FE-AD85-55694666B9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Sales Report</vt:lpstr>
      <vt:lpstr>KPIs</vt:lpstr>
      <vt:lpstr>Pivot </vt:lpstr>
      <vt:lpstr>Visualization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2025-06-24T18:23:00Z</dcterms:created>
  <cp:lastPrinted>2025-07-04T13:49:00Z</cp:lastPrinted>
  <dcterms:modified xsi:type="dcterms:W3CDTF">2025-07-09T18:56:02Z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0BA4C3F28FB34DB794F19C2E05C0B7C0_12</vt:lpwstr>
  </property>
  <property fmtid="{D5CDD505-2E9C-101B-9397-08002B2CF9AE}" pid="3" name="KSOProductBuildVer">
    <vt:lpwstr>1033-12.2.0.21931</vt:lpwstr>
  </property>
</Properties>
</file>